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Bitnami\wampstack-8.1.2-0\apache2\htdocs\institution_2022\institution_2022_angular\src\assets\excels\"/>
    </mc:Choice>
  </mc:AlternateContent>
  <xr:revisionPtr revIDLastSave="0" documentId="13_ncr:1_{E53E8424-E884-4045-85CC-0F89E2268058}" xr6:coauthVersionLast="47" xr6:coauthVersionMax="47" xr10:uidLastSave="{00000000-0000-0000-0000-000000000000}"/>
  <bookViews>
    <workbookView xWindow="-120" yWindow="-120" windowWidth="38640" windowHeight="15840" activeTab="3" xr2:uid="{C67B410C-7068-40A4-8F75-88FA2355389D}"/>
  </bookViews>
  <sheets>
    <sheet name="About Us" sheetId="2" r:id="rId1"/>
    <sheet name="Database" sheetId="1" r:id="rId2"/>
    <sheet name="Query" sheetId="3" r:id="rId3"/>
    <sheet name="Example" sheetId="4" r:id="rId4"/>
  </sheets>
  <definedNames>
    <definedName name="_xlnm._FilterDatabase" localSheetId="1" hidden="1">Database!$A$2:$J$103</definedName>
    <definedName name="coder_database">Database!$A$2:$J$103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7" i="4" l="1"/>
  <c r="H107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<sst xmlns="http://schemas.openxmlformats.org/spreadsheetml/2006/main" count="533" uniqueCount="326">
  <si>
    <t>AADHAR</t>
  </si>
  <si>
    <t>SL</t>
  </si>
  <si>
    <t>Prisha Mallick</t>
  </si>
  <si>
    <t>Prerak Boase</t>
  </si>
  <si>
    <t>Vritika Sangha</t>
  </si>
  <si>
    <t>Amani Agarwal</t>
  </si>
  <si>
    <t>Advik Bhalla</t>
  </si>
  <si>
    <t>Mahika Kakar</t>
  </si>
  <si>
    <t>Aarush Banik</t>
  </si>
  <si>
    <t>Zara Jani</t>
  </si>
  <si>
    <t>Aarna Chand</t>
  </si>
  <si>
    <t>Vaibhav Agarwal</t>
  </si>
  <si>
    <t>Eva Brar</t>
  </si>
  <si>
    <t>Saksham De</t>
  </si>
  <si>
    <t>Prerak Bhatti</t>
  </si>
  <si>
    <t>Farhan Walia</t>
  </si>
  <si>
    <t>Aarav Ganesan</t>
  </si>
  <si>
    <t>Arnav Dube</t>
  </si>
  <si>
    <t>Sara Tak</t>
  </si>
  <si>
    <t>Darshit Som</t>
  </si>
  <si>
    <t>Diya Bhardwaj</t>
  </si>
  <si>
    <t>Dishani Dubey</t>
  </si>
  <si>
    <t>Vedika Mann</t>
  </si>
  <si>
    <t>Sahil Chowdhury</t>
  </si>
  <si>
    <t>Neysa Sankaran</t>
  </si>
  <si>
    <t>Manjari Tandon</t>
  </si>
  <si>
    <t>Purab Ganesh</t>
  </si>
  <si>
    <t>Trisha Master</t>
  </si>
  <si>
    <t>Shayak Sami</t>
  </si>
  <si>
    <t>Vaibhav Gade</t>
  </si>
  <si>
    <t>Nishith Chaudhry</t>
  </si>
  <si>
    <t>Kavya Arya</t>
  </si>
  <si>
    <t>Darshit Kulkarni</t>
  </si>
  <si>
    <t>Sana Rajagopalan</t>
  </si>
  <si>
    <t>Shlok Dey</t>
  </si>
  <si>
    <t>Ritvik Choudhry</t>
  </si>
  <si>
    <t>Fateh Sen</t>
  </si>
  <si>
    <t>Abram Sathe</t>
  </si>
  <si>
    <t>Anvi Bhandari</t>
  </si>
  <si>
    <t>Urvi Lal</t>
  </si>
  <si>
    <t>Jayant Majumdar</t>
  </si>
  <si>
    <t>Zaina Chaudhary</t>
  </si>
  <si>
    <t>Purab Krishna</t>
  </si>
  <si>
    <t>Arnav Singh</t>
  </si>
  <si>
    <t>Zain Saran</t>
  </si>
  <si>
    <t>Ela Golla</t>
  </si>
  <si>
    <t>Ishita Jani</t>
  </si>
  <si>
    <t>Diya Shenoy</t>
  </si>
  <si>
    <t>Tarini Magar</t>
  </si>
  <si>
    <t>Damini Rajagopal</t>
  </si>
  <si>
    <t>Pari Varughese</t>
  </si>
  <si>
    <t>Aniruddh Bajaj</t>
  </si>
  <si>
    <t>Charvi Manne</t>
  </si>
  <si>
    <t>Amani Uppal</t>
  </si>
  <si>
    <t>Mahika Sharma</t>
  </si>
  <si>
    <t>Shaan Shenoy</t>
  </si>
  <si>
    <t>Parinaaz Sengupta</t>
  </si>
  <si>
    <t>Anaya Arora</t>
  </si>
  <si>
    <t>Vidur Karan</t>
  </si>
  <si>
    <t>Divyansh Sankar</t>
  </si>
  <si>
    <t>Tarini Malhotra</t>
  </si>
  <si>
    <t>Vritika Subramaniam</t>
  </si>
  <si>
    <t>Madhup Rana</t>
  </si>
  <si>
    <t>Raghav Ratta</t>
  </si>
  <si>
    <t>Alisha Wali</t>
  </si>
  <si>
    <t>Divit Sharma</t>
  </si>
  <si>
    <t>Kashvi Kulkarni</t>
  </si>
  <si>
    <t>Mahika Saha</t>
  </si>
  <si>
    <t>Uthkarsh Kadakia</t>
  </si>
  <si>
    <t>Mahika Kant</t>
  </si>
  <si>
    <t>Romil Cherian</t>
  </si>
  <si>
    <t>Vivaan Venkataraman</t>
  </si>
  <si>
    <t>Prisha Golla</t>
  </si>
  <si>
    <t>Diya Chatterjee</t>
  </si>
  <si>
    <t>Pihu Wadhwa</t>
  </si>
  <si>
    <t>Bhavin Gour</t>
  </si>
  <si>
    <t>Indrajit Balasubramanian</t>
  </si>
  <si>
    <t>Kismat Bal</t>
  </si>
  <si>
    <t>Rasha Saini</t>
  </si>
  <si>
    <t>Tiya Kibe</t>
  </si>
  <si>
    <t>Zoya Zacharia</t>
  </si>
  <si>
    <t>Advika Kashyap</t>
  </si>
  <si>
    <t>Tarini Buch</t>
  </si>
  <si>
    <t>Aniruddh Dutta</t>
  </si>
  <si>
    <t>Eva Kakar</t>
  </si>
  <si>
    <t>Saanvi Bora</t>
  </si>
  <si>
    <t>Anaya Bains</t>
  </si>
  <si>
    <t>Anahi Sarin</t>
  </si>
  <si>
    <t>Suhana Sabharwal</t>
  </si>
  <si>
    <t>Zaina Barman</t>
  </si>
  <si>
    <t>Stuvan Kapoor</t>
  </si>
  <si>
    <t>Miraan Sood</t>
  </si>
  <si>
    <t>Ranbir Dash</t>
  </si>
  <si>
    <t>Jayant Yogi</t>
  </si>
  <si>
    <t>Anay Gole</t>
  </si>
  <si>
    <t>Devansh Kar</t>
  </si>
  <si>
    <t>Shray Lad</t>
  </si>
  <si>
    <t>Misha Sem</t>
  </si>
  <si>
    <t>Nayantara Dora</t>
  </si>
  <si>
    <t>Hansh Sidhu</t>
  </si>
  <si>
    <t>Shaan Mani</t>
  </si>
  <si>
    <t>Badal Dhaliwal</t>
  </si>
  <si>
    <t>Ishita Dhawan</t>
  </si>
  <si>
    <t>NAME</t>
  </si>
  <si>
    <t>PHONE</t>
  </si>
  <si>
    <t>7057-8631-1733</t>
  </si>
  <si>
    <t>+914815945276</t>
  </si>
  <si>
    <t>2444-9742-6476</t>
  </si>
  <si>
    <t>+911322184574</t>
  </si>
  <si>
    <t>4519-5913-4824</t>
  </si>
  <si>
    <t>+916001919254</t>
  </si>
  <si>
    <t>7667-3745-5013</t>
  </si>
  <si>
    <t>+913705141992</t>
  </si>
  <si>
    <t>1105-8914-5080</t>
  </si>
  <si>
    <t>+914682881873</t>
  </si>
  <si>
    <t>2869-7014-9274</t>
  </si>
  <si>
    <t>+913076108636</t>
  </si>
  <si>
    <t>2799-6288-1180</t>
  </si>
  <si>
    <t>+913354748928</t>
  </si>
  <si>
    <t>9118-8768-3606</t>
  </si>
  <si>
    <t>+917008917297</t>
  </si>
  <si>
    <t>5118-1103-5343</t>
  </si>
  <si>
    <t>+915596141925</t>
  </si>
  <si>
    <t>9933-8701-1440</t>
  </si>
  <si>
    <t>+916520498824</t>
  </si>
  <si>
    <t>7831-9803-6313</t>
  </si>
  <si>
    <t>+916648718860</t>
  </si>
  <si>
    <t>1201-2877-3677</t>
  </si>
  <si>
    <t>+911263775452</t>
  </si>
  <si>
    <t>9413-5205-4471</t>
  </si>
  <si>
    <t>+913379483767</t>
  </si>
  <si>
    <t>6773-8869-7147</t>
  </si>
  <si>
    <t>+915032657366</t>
  </si>
  <si>
    <t>5898-9430-8640</t>
  </si>
  <si>
    <t>+911341769993</t>
  </si>
  <si>
    <t>1200-1758-1938</t>
  </si>
  <si>
    <t>+917584157833</t>
  </si>
  <si>
    <t>6242-5254-6117</t>
  </si>
  <si>
    <t>+911225490859</t>
  </si>
  <si>
    <t>1183-4587-4732</t>
  </si>
  <si>
    <t>+911665366837</t>
  </si>
  <si>
    <t>3083-6383-9547</t>
  </si>
  <si>
    <t>+919030272469</t>
  </si>
  <si>
    <t>5673-4645-1438</t>
  </si>
  <si>
    <t>+915036412614</t>
  </si>
  <si>
    <t>7461-5402-3084</t>
  </si>
  <si>
    <t>+918497485045</t>
  </si>
  <si>
    <t>1934-2355-2699</t>
  </si>
  <si>
    <t>+913711482697</t>
  </si>
  <si>
    <t>2857-9508-3289</t>
  </si>
  <si>
    <t>+916921675095</t>
  </si>
  <si>
    <t>9662-1745-2814</t>
  </si>
  <si>
    <t>+914419180222</t>
  </si>
  <si>
    <t>9032-8066-6595</t>
  </si>
  <si>
    <t>+915392747311</t>
  </si>
  <si>
    <t>2223-7172-8114</t>
  </si>
  <si>
    <t>+911390360066</t>
  </si>
  <si>
    <t>7775-7040-8973</t>
  </si>
  <si>
    <t>+916754107687</t>
  </si>
  <si>
    <t>2318-6046-5827</t>
  </si>
  <si>
    <t>+917203897962</t>
  </si>
  <si>
    <t>9725-5549-1402</t>
  </si>
  <si>
    <t>+915362838531</t>
  </si>
  <si>
    <t>3102-8822-3269</t>
  </si>
  <si>
    <t>+915020879389</t>
  </si>
  <si>
    <t>5751-3553-5031</t>
  </si>
  <si>
    <t>+913897760332</t>
  </si>
  <si>
    <t>1505-6447-7409</t>
  </si>
  <si>
    <t>+911822314698</t>
  </si>
  <si>
    <t>6585-4058-3483</t>
  </si>
  <si>
    <t>+912749629242</t>
  </si>
  <si>
    <t>4656-3496-1331</t>
  </si>
  <si>
    <t>+916359295272</t>
  </si>
  <si>
    <t>3117-3345-5910</t>
  </si>
  <si>
    <t>+915862306912</t>
  </si>
  <si>
    <t>2113-6241-1269</t>
  </si>
  <si>
    <t>+914614879680</t>
  </si>
  <si>
    <t>4193-6238-3606</t>
  </si>
  <si>
    <t>+914748738579</t>
  </si>
  <si>
    <t>4486-1781-4835</t>
  </si>
  <si>
    <t>+914062923249</t>
  </si>
  <si>
    <t>1186-1245-7368</t>
  </si>
  <si>
    <t>+912855479553</t>
  </si>
  <si>
    <t>8958-4179-7327</t>
  </si>
  <si>
    <t>+915485657610</t>
  </si>
  <si>
    <t>5901-4236-3759</t>
  </si>
  <si>
    <t>+912478511423</t>
  </si>
  <si>
    <t>4383-3800-9485</t>
  </si>
  <si>
    <t>+917595808145</t>
  </si>
  <si>
    <t>8268-5628-4146</t>
  </si>
  <si>
    <t>+911053156930</t>
  </si>
  <si>
    <t>8546-4897-3542</t>
  </si>
  <si>
    <t>+917225129788</t>
  </si>
  <si>
    <t>3981-7275-5234</t>
  </si>
  <si>
    <t>+919212171695</t>
  </si>
  <si>
    <t>5202-1888-5740</t>
  </si>
  <si>
    <t>+916343269219</t>
  </si>
  <si>
    <t>4102-4105-1543</t>
  </si>
  <si>
    <t>+912976649527</t>
  </si>
  <si>
    <t>1760-9188-9546</t>
  </si>
  <si>
    <t>+915959680990</t>
  </si>
  <si>
    <t>7462-8758-4675</t>
  </si>
  <si>
    <t>+914869853823</t>
  </si>
  <si>
    <t>4661-9993-5137</t>
  </si>
  <si>
    <t>+918157403666</t>
  </si>
  <si>
    <t>9646-1551-7521</t>
  </si>
  <si>
    <t>+915381401080</t>
  </si>
  <si>
    <t>5529-3124-5814</t>
  </si>
  <si>
    <t>+914518101866</t>
  </si>
  <si>
    <t>1795-1386-7614</t>
  </si>
  <si>
    <t>+913495955365</t>
  </si>
  <si>
    <t>1088-4481-6701</t>
  </si>
  <si>
    <t>+912730258497</t>
  </si>
  <si>
    <t>3947-4312-8614</t>
  </si>
  <si>
    <t>+912779219713</t>
  </si>
  <si>
    <t>8015-6938-1962</t>
  </si>
  <si>
    <t>+911661734625</t>
  </si>
  <si>
    <t>1105-1092-6533</t>
  </si>
  <si>
    <t>+919442380623</t>
  </si>
  <si>
    <t>6089-3548-8566</t>
  </si>
  <si>
    <t>+918889734862</t>
  </si>
  <si>
    <t>1288-8097-7907</t>
  </si>
  <si>
    <t>+912558286956</t>
  </si>
  <si>
    <t>6202-9198-3992</t>
  </si>
  <si>
    <t>+914274512265</t>
  </si>
  <si>
    <t>4080-8680-3802</t>
  </si>
  <si>
    <t>+915486422332</t>
  </si>
  <si>
    <t>5446-1360-5404</t>
  </si>
  <si>
    <t>+913956140585</t>
  </si>
  <si>
    <t>6251-4497-7389</t>
  </si>
  <si>
    <t>+915216198177</t>
  </si>
  <si>
    <t>5701-3838-5936</t>
  </si>
  <si>
    <t>+911320362360</t>
  </si>
  <si>
    <t>7882-8802-4105</t>
  </si>
  <si>
    <t>+911865773637</t>
  </si>
  <si>
    <t>6960-2429-3461</t>
  </si>
  <si>
    <t>+912571694172</t>
  </si>
  <si>
    <t>1439-3887-8206</t>
  </si>
  <si>
    <t>+919684772634</t>
  </si>
  <si>
    <t>2552-3600-9419</t>
  </si>
  <si>
    <t>+919640349089</t>
  </si>
  <si>
    <t>5170-6965-3062</t>
  </si>
  <si>
    <t>+918394458333</t>
  </si>
  <si>
    <t>3534-8843-7608</t>
  </si>
  <si>
    <t>+913106330569</t>
  </si>
  <si>
    <t>6862-3128-1064</t>
  </si>
  <si>
    <t>+911569768593</t>
  </si>
  <si>
    <t>2264-5340-9064</t>
  </si>
  <si>
    <t>+915465316840</t>
  </si>
  <si>
    <t>5173-2052-3049</t>
  </si>
  <si>
    <t>+916483702967</t>
  </si>
  <si>
    <t>4938-8162-9827</t>
  </si>
  <si>
    <t>+913233855577</t>
  </si>
  <si>
    <t>9708-5603-8928</t>
  </si>
  <si>
    <t>+914102966020</t>
  </si>
  <si>
    <t>1896-7605-7051</t>
  </si>
  <si>
    <t>+916728586929</t>
  </si>
  <si>
    <t>7308-9717-1222</t>
  </si>
  <si>
    <t>+913599884233</t>
  </si>
  <si>
    <t>6310-2490-9679</t>
  </si>
  <si>
    <t>+911559822620</t>
  </si>
  <si>
    <t>2711-7016-2503</t>
  </si>
  <si>
    <t>+911332961797</t>
  </si>
  <si>
    <t>9098-6855-9993</t>
  </si>
  <si>
    <t>+916701123015</t>
  </si>
  <si>
    <t>4999-3937-2755</t>
  </si>
  <si>
    <t>+912635437220</t>
  </si>
  <si>
    <t>5709-2036-1656</t>
  </si>
  <si>
    <t>+911054346477</t>
  </si>
  <si>
    <t>8887-4168-7196</t>
  </si>
  <si>
    <t>+918812211697</t>
  </si>
  <si>
    <t>2774-4149-6804</t>
  </si>
  <si>
    <t>+915537526494</t>
  </si>
  <si>
    <t>3437-6476-1047</t>
  </si>
  <si>
    <t>+911802867246</t>
  </si>
  <si>
    <t>1715-4806-1759</t>
  </si>
  <si>
    <t>+913212909635</t>
  </si>
  <si>
    <t>7462-9766-2001</t>
  </si>
  <si>
    <t>+911885365515</t>
  </si>
  <si>
    <t>8889-2452-8059</t>
  </si>
  <si>
    <t>+914433305798</t>
  </si>
  <si>
    <t>7073-1911-1863</t>
  </si>
  <si>
    <t>+915080728728</t>
  </si>
  <si>
    <t>1186-3005-4357</t>
  </si>
  <si>
    <t>+917713411425</t>
  </si>
  <si>
    <t>6158-4103-1874</t>
  </si>
  <si>
    <t>+915697851872</t>
  </si>
  <si>
    <t>8415-5051-7230</t>
  </si>
  <si>
    <t>+918192687249</t>
  </si>
  <si>
    <t>6649-8578-1786</t>
  </si>
  <si>
    <t>+915629951250</t>
  </si>
  <si>
    <t>6384-2350-2409</t>
  </si>
  <si>
    <t>+915566132438</t>
  </si>
  <si>
    <t>8219-6276-2176</t>
  </si>
  <si>
    <t>+914494811260</t>
  </si>
  <si>
    <t>7894-5826-7109</t>
  </si>
  <si>
    <t>+916846389054</t>
  </si>
  <si>
    <t>3651-1801-9033</t>
  </si>
  <si>
    <t>+915988206016</t>
  </si>
  <si>
    <t>8637-5535-9751</t>
  </si>
  <si>
    <t>+919992863296</t>
  </si>
  <si>
    <t>2680-3627-3015</t>
  </si>
  <si>
    <t>+912065594994</t>
  </si>
  <si>
    <t>7279-7305-1452</t>
  </si>
  <si>
    <t>+913546192232</t>
  </si>
  <si>
    <t>4899-5913-5790</t>
  </si>
  <si>
    <t>+916742539186</t>
  </si>
  <si>
    <t>REGION</t>
  </si>
  <si>
    <t>North</t>
  </si>
  <si>
    <t>East</t>
  </si>
  <si>
    <t>South</t>
  </si>
  <si>
    <t>West</t>
  </si>
  <si>
    <t>QTY</t>
  </si>
  <si>
    <t>PRICE</t>
  </si>
  <si>
    <t>AMOUNT</t>
  </si>
  <si>
    <t>Date</t>
  </si>
  <si>
    <t>1. Find name from database using Aadhar number</t>
  </si>
  <si>
    <t>CATEGORY</t>
  </si>
  <si>
    <t>Total</t>
  </si>
  <si>
    <t>Economy</t>
  </si>
  <si>
    <t>Standard</t>
  </si>
  <si>
    <t>Exclusive</t>
  </si>
  <si>
    <t>Luxury</t>
  </si>
  <si>
    <t>Premium</t>
  </si>
  <si>
    <t>Basic</t>
  </si>
  <si>
    <t>&gt;80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</si>
</sst>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49" fontId="0" fillId="0" borderId="0" xfId="0" applyNumberFormat="1"/>
    <xf numFmtId="2" fontId="0" fillId="0" borderId="0" xfId="0" applyNumberFormat="1"/>
    <xf numFmtId="14" fontId="1" fillId="0" borderId="0" xfId="0" applyNumberFormat="1" applyFont="1"/>
    <xf numFmtId="14" fontId="3" fillId="0" borderId="0" xfId="0" applyNumberFormat="1" applyFont="1"/>
    <xf numFmtId="0" fontId="2" fillId="2" borderId="0" xfId="0" applyFont="1" applyFill="1"/>
    <xf numFmtId="14" fontId="0" fillId="0" borderId="0" xfId="0" applyNumberFormat="1"/>
    <xf numFmtId="0" fontId="0" fillId="0" borderId="0" xfId="0" applyAlignment="1">
      <alignment horizontal="left" vertical="top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1</xdr:row>
      <xdr:rowOff>57150</xdr:rowOff>
    </xdr:from>
    <xdr:to>
      <xdr:col>5</xdr:col>
      <xdr:colOff>190500</xdr:colOff>
      <xdr:row>35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BCB42D5-31CE-4732-9712-0B58C88F389A}"/>
            </a:ext>
          </a:extLst>
        </xdr:cNvPr>
        <xdr:cNvSpPr/>
      </xdr:nvSpPr>
      <xdr:spPr>
        <a:xfrm>
          <a:off x="466725" y="247650"/>
          <a:ext cx="2771775" cy="6591300"/>
        </a:xfrm>
        <a:prstGeom prst="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552450</xdr:colOff>
      <xdr:row>1</xdr:row>
      <xdr:rowOff>123826</xdr:rowOff>
    </xdr:from>
    <xdr:to>
      <xdr:col>2</xdr:col>
      <xdr:colOff>104775</xdr:colOff>
      <xdr:row>5</xdr:row>
      <xdr:rowOff>82452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46987BD-A4DB-4F7C-80BF-50ED5E755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314326"/>
          <a:ext cx="771525" cy="720626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1</xdr:row>
      <xdr:rowOff>123825</xdr:rowOff>
    </xdr:from>
    <xdr:to>
      <xdr:col>5</xdr:col>
      <xdr:colOff>114299</xdr:colOff>
      <xdr:row>5</xdr:row>
      <xdr:rowOff>85796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82627-1CDF-493D-A715-32FF1BFF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" y="314325"/>
          <a:ext cx="1847849" cy="723971"/>
        </a:xfrm>
        <a:prstGeom prst="rect">
          <a:avLst/>
        </a:prstGeom>
      </xdr:spPr>
    </xdr:pic>
    <xdr:clientData/>
  </xdr:twoCellAnchor>
  <xdr:twoCellAnchor>
    <xdr:from>
      <xdr:col>0</xdr:col>
      <xdr:colOff>590550</xdr:colOff>
      <xdr:row>7</xdr:row>
      <xdr:rowOff>19050</xdr:rowOff>
    </xdr:from>
    <xdr:to>
      <xdr:col>5</xdr:col>
      <xdr:colOff>76200</xdr:colOff>
      <xdr:row>15</xdr:row>
      <xdr:rowOff>19050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503B4E-CEAD-4BBF-8B18-82B277E783FD}"/>
            </a:ext>
          </a:extLst>
        </xdr:cNvPr>
        <xdr:cNvSpPr/>
      </xdr:nvSpPr>
      <xdr:spPr>
        <a:xfrm>
          <a:off x="590550" y="1352550"/>
          <a:ext cx="2533650" cy="1524000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We teach Excel</a:t>
          </a:r>
          <a:r>
            <a:rPr lang="en-US" sz="1100" baseline="0">
              <a:solidFill>
                <a:schemeClr val="tx1"/>
              </a:solidFill>
            </a:rPr>
            <a:t> better, from beginers to expert.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57150</xdr:colOff>
      <xdr:row>10</xdr:row>
      <xdr:rowOff>19050</xdr:rowOff>
    </xdr:from>
    <xdr:to>
      <xdr:col>3</xdr:col>
      <xdr:colOff>361950</xdr:colOff>
      <xdr:row>14</xdr:row>
      <xdr:rowOff>171450</xdr:rowOff>
    </xdr:to>
    <xdr:pic>
      <xdr:nvPicPr>
        <xdr:cNvPr id="6" name="Graphic 5" descr="Customer review with solid fill">
          <a:extLst>
            <a:ext uri="{FF2B5EF4-FFF2-40B4-BE49-F238E27FC236}">
              <a16:creationId xmlns:a16="http://schemas.microsoft.com/office/drawing/2014/main" id="{340FF20F-56A1-49A8-B953-8657E370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6350" y="19240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6CA-5ABE-45B6-80B9-4FACB261550B}">
  <dimension ref="A1"/>
  <sheetViews>
    <sheetView workbookViewId="0">
      <selection activeCell="O17" sqref="O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76D77-2FF1-4B6A-967F-7A51F034FDF2}">
  <sheetPr codeName="Sheet1"/>
  <dimension ref="A2:X107"/>
  <sheetViews>
    <sheetView topLeftCell="A82" workbookViewId="0">
      <selection activeCell="M10" sqref="M10"/>
    </sheetView>
  </sheetViews>
  <sheetFormatPr defaultRowHeight="15" x14ac:dyDescent="0.25"/>
  <cols>
    <col min="2" max="2" width="11.5703125" bestFit="1" customWidth="1"/>
    <col min="3" max="3" width="23.42578125" bestFit="1" customWidth="1"/>
    <col min="4" max="4" width="15.7109375" customWidth="1"/>
    <col min="5" max="5" width="19.85546875" customWidth="1"/>
    <col min="6" max="7" width="12.7109375" customWidth="1"/>
    <col min="10" max="10" width="10.140625" bestFit="1" customWidth="1"/>
    <col min="17" max="17" width="10.42578125" bestFit="1" customWidth="1"/>
  </cols>
  <sheetData>
    <row r="2" spans="1:24" ht="15.75" x14ac:dyDescent="0.25">
      <c r="A2" s="1" t="s">
        <v>1</v>
      </c>
      <c r="B2" s="4" t="s">
        <v>315</v>
      </c>
      <c r="C2" s="1" t="s">
        <v>103</v>
      </c>
      <c r="D2" s="1" t="s">
        <v>0</v>
      </c>
      <c r="E2" s="1" t="s">
        <v>104</v>
      </c>
      <c r="F2" s="1" t="s">
        <v>307</v>
      </c>
      <c r="G2" s="1" t="s">
        <v>317</v>
      </c>
      <c r="H2" s="1" t="s">
        <v>312</v>
      </c>
      <c r="I2" s="1" t="s">
        <v>313</v>
      </c>
      <c r="J2" s="1" t="s">
        <v>314</v>
      </c>
      <c r="P2" s="1"/>
      <c r="Q2" s="4"/>
      <c r="R2" s="1"/>
      <c r="S2" s="1"/>
      <c r="T2" s="1"/>
      <c r="U2" s="1"/>
      <c r="V2" s="1"/>
      <c r="W2" s="1"/>
      <c r="X2" s="1"/>
    </row>
    <row r="3" spans="1:24" ht="15.75" x14ac:dyDescent="0.25">
      <c r="A3">
        <v>1</v>
      </c>
      <c r="B3" s="5">
        <v>42604</v>
      </c>
      <c r="C3" t="s">
        <v>2</v>
      </c>
      <c r="D3" t="s">
        <v>105</v>
      </c>
      <c r="E3" s="2" t="s">
        <v>106</v>
      </c>
      <c r="F3" t="s">
        <v>310</v>
      </c>
      <c r="G3" t="s" cm="1">
        <v>320</v>
      </c>
      <c r="H3">
        <v>24</v>
      </c>
      <c r="I3" s="3">
        <v>197.06</v>
      </c>
      <c r="J3">
        <f>H3*I3</f>
        <v>4729.4400000000005</v>
      </c>
      <c r="Q3" s="7"/>
    </row>
    <row r="4" spans="1:24" ht="15.75" x14ac:dyDescent="0.25">
      <c r="A4">
        <v>2</v>
      </c>
      <c r="B4" s="5">
        <v>43597</v>
      </c>
      <c r="C4" t="s">
        <v>3</v>
      </c>
      <c r="D4" t="s">
        <v>107</v>
      </c>
      <c r="E4" s="2" t="s">
        <v>108</v>
      </c>
      <c r="F4" t="s">
        <v>311</v>
      </c>
      <c r="G4" t="s" cm="1">
        <v>320</v>
      </c>
      <c r="H4">
        <v>21</v>
      </c>
      <c r="I4" s="3">
        <v>169.92</v>
      </c>
      <c r="J4">
        <f t="shared" ref="J4:J67" si="0">H4*I4</f>
        <v>3568.3199999999997</v>
      </c>
    </row>
    <row r="5" spans="1:24" ht="15.75" x14ac:dyDescent="0.25">
      <c r="A5">
        <v>3</v>
      </c>
      <c r="B5" s="5">
        <v>43687</v>
      </c>
      <c r="C5" t="s">
        <v>4</v>
      </c>
      <c r="D5" t="s">
        <v>109</v>
      </c>
      <c r="E5" s="2" t="s">
        <v>110</v>
      </c>
      <c r="F5" t="s">
        <v>310</v>
      </c>
      <c r="G5" t="s" cm="1">
        <v>322</v>
      </c>
      <c r="H5">
        <v>99</v>
      </c>
      <c r="I5" s="3">
        <v>151.04</v>
      </c>
      <c r="J5">
        <f t="shared" si="0"/>
        <v>14952.96</v>
      </c>
    </row>
    <row r="6" spans="1:24" ht="15.75" x14ac:dyDescent="0.25">
      <c r="A6">
        <v>4</v>
      </c>
      <c r="B6" s="5">
        <v>43469</v>
      </c>
      <c r="C6" t="s">
        <v>5</v>
      </c>
      <c r="D6" t="s">
        <v>111</v>
      </c>
      <c r="E6" s="2" t="s">
        <v>112</v>
      </c>
      <c r="F6" t="s">
        <v>311</v>
      </c>
      <c r="G6" t="s" cm="1">
        <v>320</v>
      </c>
      <c r="H6">
        <v>86</v>
      </c>
      <c r="I6" s="3">
        <v>149.85999999999999</v>
      </c>
      <c r="J6">
        <f t="shared" si="0"/>
        <v>12887.96</v>
      </c>
    </row>
    <row r="7" spans="1:24" ht="15.75" x14ac:dyDescent="0.25">
      <c r="A7">
        <v>5</v>
      </c>
      <c r="B7" s="5">
        <v>44212</v>
      </c>
      <c r="C7" t="s">
        <v>6</v>
      </c>
      <c r="D7" t="s">
        <v>113</v>
      </c>
      <c r="E7" s="2" t="s">
        <v>114</v>
      </c>
      <c r="F7" t="s">
        <v>309</v>
      </c>
      <c r="G7" t="s" cm="1">
        <v>320</v>
      </c>
      <c r="H7">
        <v>62</v>
      </c>
      <c r="I7" s="3">
        <v>152.22</v>
      </c>
      <c r="J7">
        <f t="shared" si="0"/>
        <v>9437.64</v>
      </c>
    </row>
    <row r="8" spans="1:24" ht="15.75" x14ac:dyDescent="0.25">
      <c r="A8">
        <v>6</v>
      </c>
      <c r="B8" s="5">
        <v>43849</v>
      </c>
      <c r="C8" t="s">
        <v>7</v>
      </c>
      <c r="D8" t="s">
        <v>115</v>
      </c>
      <c r="E8" s="2" t="s">
        <v>116</v>
      </c>
      <c r="F8" t="s">
        <v>308</v>
      </c>
      <c r="G8" t="s" cm="1">
        <v>323</v>
      </c>
      <c r="H8">
        <v>69</v>
      </c>
      <c r="I8" s="3">
        <v>168.73999999999998</v>
      </c>
      <c r="J8">
        <f t="shared" si="0"/>
        <v>11643.06</v>
      </c>
    </row>
    <row r="9" spans="1:24" ht="15.75" x14ac:dyDescent="0.25">
      <c r="A9">
        <v>7</v>
      </c>
      <c r="B9" s="5">
        <v>43307</v>
      </c>
      <c r="C9" t="s">
        <v>8</v>
      </c>
      <c r="D9" t="s">
        <v>117</v>
      </c>
      <c r="E9" s="2" t="s">
        <v>118</v>
      </c>
      <c r="F9" t="s">
        <v>308</v>
      </c>
      <c r="G9" t="s" cm="1">
        <v>324</v>
      </c>
      <c r="H9">
        <v>70</v>
      </c>
      <c r="I9" s="3">
        <v>128.62</v>
      </c>
      <c r="J9">
        <f t="shared" si="0"/>
        <v>9003.4</v>
      </c>
    </row>
    <row r="10" spans="1:24" ht="15.75" x14ac:dyDescent="0.25">
      <c r="A10">
        <v>8</v>
      </c>
      <c r="B10" s="5">
        <v>43146</v>
      </c>
      <c r="C10" t="s">
        <v>9</v>
      </c>
      <c r="D10" t="s">
        <v>119</v>
      </c>
      <c r="E10" s="2" t="s">
        <v>120</v>
      </c>
      <c r="F10" t="s">
        <v>310</v>
      </c>
      <c r="G10" t="s" cm="1">
        <v>323</v>
      </c>
      <c r="H10">
        <v>57</v>
      </c>
      <c r="I10" s="3">
        <v>192.34</v>
      </c>
      <c r="J10">
        <f t="shared" si="0"/>
        <v>10963.380000000001</v>
      </c>
    </row>
    <row r="11" spans="1:24" ht="15.75" x14ac:dyDescent="0.25">
      <c r="A11">
        <v>9</v>
      </c>
      <c r="B11" s="5">
        <v>43775</v>
      </c>
      <c r="C11" t="s">
        <v>10</v>
      </c>
      <c r="D11" t="s">
        <v>121</v>
      </c>
      <c r="E11" s="2" t="s">
        <v>122</v>
      </c>
      <c r="F11" t="s">
        <v>310</v>
      </c>
      <c r="G11" t="s" cm="1">
        <v>320</v>
      </c>
      <c r="H11">
        <v>45</v>
      </c>
      <c r="I11" s="3">
        <v>171.1</v>
      </c>
      <c r="J11">
        <f t="shared" si="0"/>
        <v>7699.5</v>
      </c>
    </row>
    <row r="12" spans="1:24" ht="15.75" x14ac:dyDescent="0.25">
      <c r="A12">
        <v>10</v>
      </c>
      <c r="B12" s="5">
        <v>43654</v>
      </c>
      <c r="C12" t="s">
        <v>11</v>
      </c>
      <c r="D12" t="s">
        <v>123</v>
      </c>
      <c r="E12" s="2" t="s">
        <v>124</v>
      </c>
      <c r="F12" t="s">
        <v>311</v>
      </c>
      <c r="G12" t="s" cm="1">
        <v>320</v>
      </c>
      <c r="H12">
        <v>89</v>
      </c>
      <c r="I12" s="3">
        <v>122.72</v>
      </c>
      <c r="J12">
        <f t="shared" si="0"/>
        <v>10922.08</v>
      </c>
    </row>
    <row r="13" spans="1:24" ht="15.75" x14ac:dyDescent="0.25">
      <c r="A13">
        <v>11</v>
      </c>
      <c r="B13" s="5">
        <v>44322</v>
      </c>
      <c r="C13" t="s">
        <v>12</v>
      </c>
      <c r="D13" t="s">
        <v>125</v>
      </c>
      <c r="E13" s="2" t="s">
        <v>126</v>
      </c>
      <c r="F13" t="s">
        <v>308</v>
      </c>
      <c r="G13" t="s" cm="1">
        <v>324</v>
      </c>
      <c r="H13">
        <v>82</v>
      </c>
      <c r="I13" s="3">
        <v>202.95999999999998</v>
      </c>
      <c r="J13">
        <f t="shared" si="0"/>
        <v>16642.719999999998</v>
      </c>
    </row>
    <row r="14" spans="1:24" ht="15.75" x14ac:dyDescent="0.25">
      <c r="A14">
        <v>12</v>
      </c>
      <c r="B14" s="5">
        <v>44558</v>
      </c>
      <c r="C14" t="s">
        <v>13</v>
      </c>
      <c r="D14" t="s">
        <v>127</v>
      </c>
      <c r="E14" s="2" t="s">
        <v>128</v>
      </c>
      <c r="F14" t="s">
        <v>311</v>
      </c>
      <c r="G14" t="s" cm="1">
        <v>319</v>
      </c>
      <c r="H14">
        <v>85</v>
      </c>
      <c r="I14" s="3">
        <v>187.61999999999998</v>
      </c>
      <c r="J14">
        <f t="shared" si="0"/>
        <v>15947.699999999997</v>
      </c>
    </row>
    <row r="15" spans="1:24" ht="15.75" x14ac:dyDescent="0.25">
      <c r="A15">
        <v>13</v>
      </c>
      <c r="B15" s="5">
        <v>43014</v>
      </c>
      <c r="C15" t="s">
        <v>14</v>
      </c>
      <c r="D15" t="s">
        <v>129</v>
      </c>
      <c r="E15" s="2" t="s">
        <v>130</v>
      </c>
      <c r="F15" t="s">
        <v>309</v>
      </c>
      <c r="G15" t="s" cm="1">
        <v>321</v>
      </c>
      <c r="H15">
        <v>84</v>
      </c>
      <c r="I15" s="3">
        <v>136.88</v>
      </c>
      <c r="J15">
        <f t="shared" si="0"/>
        <v>11497.92</v>
      </c>
    </row>
    <row r="16" spans="1:24" ht="15.75" x14ac:dyDescent="0.25">
      <c r="A16">
        <v>14</v>
      </c>
      <c r="B16" s="5">
        <v>44436</v>
      </c>
      <c r="C16" t="s">
        <v>15</v>
      </c>
      <c r="D16" t="s">
        <v>131</v>
      </c>
      <c r="E16" s="2" t="s">
        <v>132</v>
      </c>
      <c r="F16" t="s">
        <v>310</v>
      </c>
      <c r="G16" t="s" cm="1">
        <v>320</v>
      </c>
      <c r="H16">
        <v>36</v>
      </c>
      <c r="I16" s="3">
        <v>165.2</v>
      </c>
      <c r="J16">
        <f t="shared" si="0"/>
        <v>5947.2</v>
      </c>
    </row>
    <row r="17" spans="1:10" ht="15.75" x14ac:dyDescent="0.25">
      <c r="A17">
        <v>15</v>
      </c>
      <c r="B17" s="5">
        <v>43025</v>
      </c>
      <c r="C17" t="s">
        <v>16</v>
      </c>
      <c r="D17" t="s">
        <v>133</v>
      </c>
      <c r="E17" s="2" t="s">
        <v>134</v>
      </c>
      <c r="F17" t="s">
        <v>311</v>
      </c>
      <c r="G17" t="s" cm="1">
        <v>324</v>
      </c>
      <c r="H17">
        <v>40</v>
      </c>
      <c r="I17" s="3">
        <v>162.84</v>
      </c>
      <c r="J17">
        <f t="shared" si="0"/>
        <v>6513.6</v>
      </c>
    </row>
    <row r="18" spans="1:10" ht="15.75" x14ac:dyDescent="0.25">
      <c r="A18">
        <v>16</v>
      </c>
      <c r="B18" s="5">
        <v>44252</v>
      </c>
      <c r="C18" t="s">
        <v>17</v>
      </c>
      <c r="D18" t="s">
        <v>135</v>
      </c>
      <c r="E18" s="2" t="s">
        <v>136</v>
      </c>
      <c r="F18" t="s">
        <v>311</v>
      </c>
      <c r="G18" t="s" cm="1">
        <v>321</v>
      </c>
      <c r="H18">
        <v>51</v>
      </c>
      <c r="I18" s="3">
        <v>231.28</v>
      </c>
      <c r="J18">
        <f t="shared" si="0"/>
        <v>11795.28</v>
      </c>
    </row>
    <row r="19" spans="1:10" ht="15.75" x14ac:dyDescent="0.25">
      <c r="A19">
        <v>17</v>
      </c>
      <c r="B19" s="5">
        <v>42859</v>
      </c>
      <c r="C19" t="s">
        <v>18</v>
      </c>
      <c r="D19" t="s">
        <v>137</v>
      </c>
      <c r="E19" s="2" t="s">
        <v>138</v>
      </c>
      <c r="F19" t="s">
        <v>309</v>
      </c>
      <c r="G19" t="s" cm="1">
        <v>322</v>
      </c>
      <c r="H19">
        <v>56</v>
      </c>
      <c r="I19" s="3">
        <v>200.6</v>
      </c>
      <c r="J19">
        <f t="shared" si="0"/>
        <v>11233.6</v>
      </c>
    </row>
    <row r="20" spans="1:10" ht="15.75" x14ac:dyDescent="0.25">
      <c r="A20">
        <v>18</v>
      </c>
      <c r="B20" s="5">
        <v>43481</v>
      </c>
      <c r="C20" t="s">
        <v>19</v>
      </c>
      <c r="D20" t="s">
        <v>139</v>
      </c>
      <c r="E20" s="2" t="s">
        <v>140</v>
      </c>
      <c r="F20" t="s">
        <v>310</v>
      </c>
      <c r="G20" t="s" cm="1">
        <v>319</v>
      </c>
      <c r="H20">
        <v>44</v>
      </c>
      <c r="I20" s="3">
        <v>182.89999999999998</v>
      </c>
      <c r="J20">
        <f t="shared" si="0"/>
        <v>8047.5999999999985</v>
      </c>
    </row>
    <row r="21" spans="1:10" ht="15.75" x14ac:dyDescent="0.25">
      <c r="A21">
        <v>19</v>
      </c>
      <c r="B21" s="5">
        <v>42401</v>
      </c>
      <c r="C21" t="s">
        <v>20</v>
      </c>
      <c r="D21" t="s">
        <v>141</v>
      </c>
      <c r="E21" s="2" t="s">
        <v>142</v>
      </c>
      <c r="F21" t="s">
        <v>309</v>
      </c>
      <c r="G21" t="s" cm="1">
        <v>324</v>
      </c>
      <c r="H21">
        <v>14</v>
      </c>
      <c r="I21" s="3">
        <v>121.53999999999999</v>
      </c>
      <c r="J21">
        <f t="shared" si="0"/>
        <v>1701.56</v>
      </c>
    </row>
    <row r="22" spans="1:10" ht="15.75" x14ac:dyDescent="0.25">
      <c r="A22">
        <v>20</v>
      </c>
      <c r="B22" s="5">
        <v>42370</v>
      </c>
      <c r="C22" t="s">
        <v>21</v>
      </c>
      <c r="D22" t="s">
        <v>143</v>
      </c>
      <c r="E22" s="2" t="s">
        <v>144</v>
      </c>
      <c r="F22" t="s">
        <v>311</v>
      </c>
      <c r="G22" t="s" cm="1">
        <v>324</v>
      </c>
      <c r="H22">
        <v>61</v>
      </c>
      <c r="I22" s="3">
        <v>158.12</v>
      </c>
      <c r="J22">
        <f t="shared" si="0"/>
        <v>9645.32</v>
      </c>
    </row>
    <row r="23" spans="1:10" ht="15.75" x14ac:dyDescent="0.25">
      <c r="A23">
        <v>21</v>
      </c>
      <c r="B23" s="5">
        <v>43478</v>
      </c>
      <c r="C23" t="s">
        <v>22</v>
      </c>
      <c r="D23" t="s">
        <v>145</v>
      </c>
      <c r="E23" s="2" t="s">
        <v>146</v>
      </c>
      <c r="F23" t="s">
        <v>310</v>
      </c>
      <c r="G23" t="s" cm="1">
        <v>320</v>
      </c>
      <c r="H23">
        <v>50</v>
      </c>
      <c r="I23" s="3">
        <v>234.82</v>
      </c>
      <c r="J23">
        <f t="shared" si="0"/>
        <v>11741</v>
      </c>
    </row>
    <row r="24" spans="1:10" ht="15.75" x14ac:dyDescent="0.25">
      <c r="A24">
        <v>22</v>
      </c>
      <c r="B24" s="5">
        <v>44152</v>
      </c>
      <c r="C24" t="s">
        <v>23</v>
      </c>
      <c r="D24" t="s">
        <v>147</v>
      </c>
      <c r="E24" s="2" t="s">
        <v>148</v>
      </c>
      <c r="F24" t="s">
        <v>308</v>
      </c>
      <c r="G24" t="s" cm="1">
        <v>324</v>
      </c>
      <c r="H24">
        <v>63</v>
      </c>
      <c r="I24" s="3">
        <v>158.12</v>
      </c>
      <c r="J24">
        <f t="shared" si="0"/>
        <v>9961.56</v>
      </c>
    </row>
    <row r="25" spans="1:10" ht="15.75" x14ac:dyDescent="0.25">
      <c r="A25">
        <v>23</v>
      </c>
      <c r="B25" s="5">
        <v>42749</v>
      </c>
      <c r="C25" t="s">
        <v>24</v>
      </c>
      <c r="D25" t="s">
        <v>149</v>
      </c>
      <c r="E25" s="2" t="s">
        <v>150</v>
      </c>
      <c r="F25" t="s">
        <v>308</v>
      </c>
      <c r="G25" t="s" cm="1">
        <v>321</v>
      </c>
      <c r="H25">
        <v>23</v>
      </c>
      <c r="I25" s="3">
        <v>233.64</v>
      </c>
      <c r="J25">
        <f t="shared" si="0"/>
        <v>5373.7199999999993</v>
      </c>
    </row>
    <row r="26" spans="1:10" ht="15.75" x14ac:dyDescent="0.25">
      <c r="A26">
        <v>24</v>
      </c>
      <c r="B26" s="5">
        <v>43628</v>
      </c>
      <c r="C26" t="s">
        <v>25</v>
      </c>
      <c r="D26" t="s">
        <v>151</v>
      </c>
      <c r="E26" s="2" t="s">
        <v>152</v>
      </c>
      <c r="F26" t="s">
        <v>309</v>
      </c>
      <c r="G26" t="s" cm="1">
        <v>319</v>
      </c>
      <c r="H26">
        <v>86</v>
      </c>
      <c r="I26" s="3">
        <v>212.39999999999998</v>
      </c>
      <c r="J26">
        <f t="shared" si="0"/>
        <v>18266.399999999998</v>
      </c>
    </row>
    <row r="27" spans="1:10" ht="15.75" x14ac:dyDescent="0.25">
      <c r="A27">
        <v>25</v>
      </c>
      <c r="B27" s="5">
        <v>43303</v>
      </c>
      <c r="C27" t="s">
        <v>26</v>
      </c>
      <c r="D27" t="s">
        <v>153</v>
      </c>
      <c r="E27" s="2" t="s">
        <v>154</v>
      </c>
      <c r="F27" t="s">
        <v>308</v>
      </c>
      <c r="G27" t="s" cm="1">
        <v>322</v>
      </c>
      <c r="H27">
        <v>70</v>
      </c>
      <c r="I27" s="3">
        <v>159.29999999999998</v>
      </c>
      <c r="J27">
        <f t="shared" si="0"/>
        <v>11150.999999999998</v>
      </c>
    </row>
    <row r="28" spans="1:10" ht="15.75" x14ac:dyDescent="0.25">
      <c r="A28">
        <v>26</v>
      </c>
      <c r="B28" s="5">
        <v>42839</v>
      </c>
      <c r="C28" t="s">
        <v>27</v>
      </c>
      <c r="D28" t="s">
        <v>155</v>
      </c>
      <c r="E28" s="2" t="s">
        <v>156</v>
      </c>
      <c r="F28" t="s">
        <v>309</v>
      </c>
      <c r="G28" t="s" cm="1">
        <v>320</v>
      </c>
      <c r="H28">
        <v>52</v>
      </c>
      <c r="I28" s="3">
        <v>199.42</v>
      </c>
      <c r="J28">
        <f t="shared" si="0"/>
        <v>10369.84</v>
      </c>
    </row>
    <row r="29" spans="1:10" ht="15.75" x14ac:dyDescent="0.25">
      <c r="A29">
        <v>27</v>
      </c>
      <c r="B29" s="5">
        <v>42856</v>
      </c>
      <c r="C29" t="s">
        <v>28</v>
      </c>
      <c r="D29" t="s">
        <v>157</v>
      </c>
      <c r="E29" s="2" t="s">
        <v>158</v>
      </c>
      <c r="F29" t="s">
        <v>310</v>
      </c>
      <c r="G29" t="s" cm="1">
        <v>322</v>
      </c>
      <c r="H29">
        <v>81</v>
      </c>
      <c r="I29" s="3">
        <v>220.66</v>
      </c>
      <c r="J29">
        <f t="shared" si="0"/>
        <v>17873.46</v>
      </c>
    </row>
    <row r="30" spans="1:10" ht="15.75" x14ac:dyDescent="0.25">
      <c r="A30">
        <v>28</v>
      </c>
      <c r="B30" s="5">
        <v>44155</v>
      </c>
      <c r="C30" t="s">
        <v>29</v>
      </c>
      <c r="D30" t="s">
        <v>159</v>
      </c>
      <c r="E30" s="2" t="s">
        <v>160</v>
      </c>
      <c r="F30" t="s">
        <v>308</v>
      </c>
      <c r="G30" t="s" cm="1">
        <v>323</v>
      </c>
      <c r="H30">
        <v>35</v>
      </c>
      <c r="I30" s="3">
        <v>133.34</v>
      </c>
      <c r="J30">
        <f t="shared" si="0"/>
        <v>4666.9000000000005</v>
      </c>
    </row>
    <row r="31" spans="1:10" ht="15.75" x14ac:dyDescent="0.25">
      <c r="A31">
        <v>29</v>
      </c>
      <c r="B31" s="5">
        <v>43290</v>
      </c>
      <c r="C31" t="s">
        <v>30</v>
      </c>
      <c r="D31" t="s">
        <v>161</v>
      </c>
      <c r="E31" s="2" t="s">
        <v>162</v>
      </c>
      <c r="F31" t="s">
        <v>311</v>
      </c>
      <c r="G31" t="s" cm="1">
        <v>322</v>
      </c>
      <c r="H31">
        <v>25</v>
      </c>
      <c r="I31" s="3">
        <v>223.01999999999998</v>
      </c>
      <c r="J31">
        <f t="shared" si="0"/>
        <v>5575.5</v>
      </c>
    </row>
    <row r="32" spans="1:10" ht="15.75" x14ac:dyDescent="0.25">
      <c r="A32">
        <v>30</v>
      </c>
      <c r="B32" s="5">
        <v>42925</v>
      </c>
      <c r="C32" t="s">
        <v>31</v>
      </c>
      <c r="D32" t="s">
        <v>163</v>
      </c>
      <c r="E32" s="2" t="s">
        <v>164</v>
      </c>
      <c r="F32" t="s">
        <v>310</v>
      </c>
      <c r="G32" t="s" cm="1">
        <v>323</v>
      </c>
      <c r="H32">
        <v>82</v>
      </c>
      <c r="I32" s="3">
        <v>140.41999999999999</v>
      </c>
      <c r="J32">
        <f t="shared" si="0"/>
        <v>11514.439999999999</v>
      </c>
    </row>
    <row r="33" spans="1:10" ht="15.75" x14ac:dyDescent="0.25">
      <c r="A33">
        <v>31</v>
      </c>
      <c r="B33" s="5">
        <v>44391</v>
      </c>
      <c r="C33" t="s">
        <v>32</v>
      </c>
      <c r="D33" t="s">
        <v>165</v>
      </c>
      <c r="E33" s="2" t="s">
        <v>166</v>
      </c>
      <c r="F33" t="s">
        <v>311</v>
      </c>
      <c r="G33" t="s" cm="1">
        <v>320</v>
      </c>
      <c r="H33">
        <v>83</v>
      </c>
      <c r="I33" s="3">
        <v>191.16</v>
      </c>
      <c r="J33">
        <f t="shared" si="0"/>
        <v>15866.279999999999</v>
      </c>
    </row>
    <row r="34" spans="1:10" ht="15.75" x14ac:dyDescent="0.25">
      <c r="A34">
        <v>32</v>
      </c>
      <c r="B34" s="5">
        <v>43123</v>
      </c>
      <c r="C34" t="s">
        <v>33</v>
      </c>
      <c r="D34" t="s">
        <v>167</v>
      </c>
      <c r="E34" s="2" t="s">
        <v>168</v>
      </c>
      <c r="F34" t="s">
        <v>311</v>
      </c>
      <c r="G34" t="s" cm="1">
        <v>322</v>
      </c>
      <c r="H34">
        <v>41</v>
      </c>
      <c r="I34" s="3">
        <v>138.06</v>
      </c>
      <c r="J34">
        <f t="shared" si="0"/>
        <v>5660.46</v>
      </c>
    </row>
    <row r="35" spans="1:10" ht="15.75" x14ac:dyDescent="0.25">
      <c r="A35">
        <v>33</v>
      </c>
      <c r="B35" s="5">
        <v>42758</v>
      </c>
      <c r="C35" t="s">
        <v>34</v>
      </c>
      <c r="D35" t="s">
        <v>169</v>
      </c>
      <c r="E35" s="2" t="s">
        <v>170</v>
      </c>
      <c r="F35" t="s">
        <v>308</v>
      </c>
      <c r="G35" t="s" cm="1">
        <v>322</v>
      </c>
      <c r="H35">
        <v>91</v>
      </c>
      <c r="I35" s="3">
        <v>217.11999999999998</v>
      </c>
      <c r="J35">
        <f t="shared" si="0"/>
        <v>19757.919999999998</v>
      </c>
    </row>
    <row r="36" spans="1:10" ht="15.75" x14ac:dyDescent="0.25">
      <c r="A36">
        <v>34</v>
      </c>
      <c r="B36" s="5">
        <v>42797</v>
      </c>
      <c r="C36" t="s">
        <v>35</v>
      </c>
      <c r="D36" t="s">
        <v>171</v>
      </c>
      <c r="E36" s="2" t="s">
        <v>172</v>
      </c>
      <c r="F36" t="s">
        <v>308</v>
      </c>
      <c r="G36" t="s" cm="1">
        <v>321</v>
      </c>
      <c r="H36">
        <v>42</v>
      </c>
      <c r="I36" s="3">
        <v>179.35999999999999</v>
      </c>
      <c r="J36">
        <f t="shared" si="0"/>
        <v>7533.119999999999</v>
      </c>
    </row>
    <row r="37" spans="1:10" ht="15.75" x14ac:dyDescent="0.25">
      <c r="A37">
        <v>35</v>
      </c>
      <c r="B37" s="5">
        <v>43827</v>
      </c>
      <c r="C37" t="s">
        <v>36</v>
      </c>
      <c r="D37" t="s">
        <v>173</v>
      </c>
      <c r="E37" s="2" t="s">
        <v>174</v>
      </c>
      <c r="F37" t="s">
        <v>309</v>
      </c>
      <c r="G37" t="s" cm="1">
        <v>319</v>
      </c>
      <c r="H37">
        <v>23</v>
      </c>
      <c r="I37" s="3">
        <v>168.73999999999998</v>
      </c>
      <c r="J37">
        <f t="shared" si="0"/>
        <v>3881.0199999999995</v>
      </c>
    </row>
    <row r="38" spans="1:10" ht="15.75" x14ac:dyDescent="0.25">
      <c r="A38">
        <v>36</v>
      </c>
      <c r="B38" s="5">
        <v>42876</v>
      </c>
      <c r="C38" t="s">
        <v>37</v>
      </c>
      <c r="D38" t="s">
        <v>175</v>
      </c>
      <c r="E38" s="2" t="s">
        <v>176</v>
      </c>
      <c r="F38" t="s">
        <v>311</v>
      </c>
      <c r="G38" t="s" cm="1">
        <v>320</v>
      </c>
      <c r="H38">
        <v>29</v>
      </c>
      <c r="I38" s="3">
        <v>192.34</v>
      </c>
      <c r="J38">
        <f t="shared" si="0"/>
        <v>5577.86</v>
      </c>
    </row>
    <row r="39" spans="1:10" ht="15.75" x14ac:dyDescent="0.25">
      <c r="A39">
        <v>37</v>
      </c>
      <c r="B39" s="5">
        <v>43261</v>
      </c>
      <c r="C39" t="s">
        <v>38</v>
      </c>
      <c r="D39" t="s">
        <v>177</v>
      </c>
      <c r="E39" s="2" t="s">
        <v>178</v>
      </c>
      <c r="F39" t="s">
        <v>310</v>
      </c>
      <c r="G39" t="s" cm="1">
        <v>323</v>
      </c>
      <c r="H39">
        <v>58</v>
      </c>
      <c r="I39" s="3">
        <v>125.08</v>
      </c>
      <c r="J39">
        <f t="shared" si="0"/>
        <v>7254.64</v>
      </c>
    </row>
    <row r="40" spans="1:10" ht="15.75" x14ac:dyDescent="0.25">
      <c r="A40">
        <v>38</v>
      </c>
      <c r="B40" s="5">
        <v>44213</v>
      </c>
      <c r="C40" t="s">
        <v>39</v>
      </c>
      <c r="D40" t="s">
        <v>179</v>
      </c>
      <c r="E40" s="2" t="s">
        <v>180</v>
      </c>
      <c r="F40" t="s">
        <v>310</v>
      </c>
      <c r="G40" t="s" cm="1">
        <v>323</v>
      </c>
      <c r="H40">
        <v>82</v>
      </c>
      <c r="I40" s="3">
        <v>208.85999999999999</v>
      </c>
      <c r="J40">
        <f t="shared" si="0"/>
        <v>17126.52</v>
      </c>
    </row>
    <row r="41" spans="1:10" ht="15.75" x14ac:dyDescent="0.25">
      <c r="A41">
        <v>39</v>
      </c>
      <c r="B41" s="5">
        <v>42747</v>
      </c>
      <c r="C41" t="s">
        <v>40</v>
      </c>
      <c r="D41" t="s">
        <v>181</v>
      </c>
      <c r="E41" s="2" t="s">
        <v>182</v>
      </c>
      <c r="F41" t="s">
        <v>309</v>
      </c>
      <c r="G41" t="s" cm="1">
        <v>324</v>
      </c>
      <c r="H41">
        <v>36</v>
      </c>
      <c r="I41" s="3">
        <v>197.06</v>
      </c>
      <c r="J41">
        <f t="shared" si="0"/>
        <v>7094.16</v>
      </c>
    </row>
    <row r="42" spans="1:10" ht="15.75" x14ac:dyDescent="0.25">
      <c r="A42">
        <v>40</v>
      </c>
      <c r="B42" s="5">
        <v>42836</v>
      </c>
      <c r="C42" t="s">
        <v>41</v>
      </c>
      <c r="D42" t="s">
        <v>183</v>
      </c>
      <c r="E42" s="2" t="s">
        <v>184</v>
      </c>
      <c r="F42" t="s">
        <v>308</v>
      </c>
      <c r="G42" t="s" cm="1">
        <v>323</v>
      </c>
      <c r="H42">
        <v>49</v>
      </c>
      <c r="I42" s="3">
        <v>219.48</v>
      </c>
      <c r="J42">
        <f t="shared" si="0"/>
        <v>10754.519999999999</v>
      </c>
    </row>
    <row r="43" spans="1:10" ht="15.75" x14ac:dyDescent="0.25">
      <c r="A43">
        <v>41</v>
      </c>
      <c r="B43" s="5">
        <v>43490</v>
      </c>
      <c r="C43" t="s">
        <v>42</v>
      </c>
      <c r="D43" t="s">
        <v>185</v>
      </c>
      <c r="E43" s="2" t="s">
        <v>186</v>
      </c>
      <c r="F43" t="s">
        <v>310</v>
      </c>
      <c r="G43" t="s" cm="1">
        <v>319</v>
      </c>
      <c r="H43">
        <v>40</v>
      </c>
      <c r="I43" s="3">
        <v>171.1</v>
      </c>
      <c r="J43">
        <f t="shared" si="0"/>
        <v>6844</v>
      </c>
    </row>
    <row r="44" spans="1:10" ht="15.75" x14ac:dyDescent="0.25">
      <c r="A44">
        <v>42</v>
      </c>
      <c r="B44" s="5">
        <v>42438</v>
      </c>
      <c r="C44" t="s">
        <v>43</v>
      </c>
      <c r="D44" t="s">
        <v>187</v>
      </c>
      <c r="E44" s="2" t="s">
        <v>188</v>
      </c>
      <c r="F44" t="s">
        <v>311</v>
      </c>
      <c r="G44" t="s" cm="1">
        <v>321</v>
      </c>
      <c r="H44">
        <v>59</v>
      </c>
      <c r="I44" s="3">
        <v>192.34</v>
      </c>
      <c r="J44">
        <f t="shared" si="0"/>
        <v>11348.06</v>
      </c>
    </row>
    <row r="45" spans="1:10" ht="15.75" x14ac:dyDescent="0.25">
      <c r="A45">
        <v>43</v>
      </c>
      <c r="B45" s="5">
        <v>42745</v>
      </c>
      <c r="C45" t="s">
        <v>44</v>
      </c>
      <c r="D45" t="s">
        <v>189</v>
      </c>
      <c r="E45" s="2" t="s">
        <v>190</v>
      </c>
      <c r="F45" t="s">
        <v>310</v>
      </c>
      <c r="G45" t="s" cm="1">
        <v>323</v>
      </c>
      <c r="H45">
        <v>17</v>
      </c>
      <c r="I45" s="3">
        <v>174.64</v>
      </c>
      <c r="J45">
        <f t="shared" si="0"/>
        <v>2968.8799999999997</v>
      </c>
    </row>
    <row r="46" spans="1:10" ht="15.75" x14ac:dyDescent="0.25">
      <c r="A46">
        <v>44</v>
      </c>
      <c r="B46" s="5">
        <v>42711</v>
      </c>
      <c r="C46" t="s">
        <v>45</v>
      </c>
      <c r="D46" t="s">
        <v>191</v>
      </c>
      <c r="E46" s="2" t="s">
        <v>192</v>
      </c>
      <c r="F46" t="s">
        <v>308</v>
      </c>
      <c r="G46" t="s" cm="1">
        <v>321</v>
      </c>
      <c r="H46">
        <v>42</v>
      </c>
      <c r="I46" s="3">
        <v>145.13999999999999</v>
      </c>
      <c r="J46">
        <f t="shared" si="0"/>
        <v>6095.8799999999992</v>
      </c>
    </row>
    <row r="47" spans="1:10" ht="15.75" x14ac:dyDescent="0.25">
      <c r="A47">
        <v>45</v>
      </c>
      <c r="B47" s="5">
        <v>42680</v>
      </c>
      <c r="C47" t="s">
        <v>46</v>
      </c>
      <c r="D47" t="s">
        <v>193</v>
      </c>
      <c r="E47" s="2" t="s">
        <v>194</v>
      </c>
      <c r="F47" t="s">
        <v>309</v>
      </c>
      <c r="G47" t="s" cm="1">
        <v>324</v>
      </c>
      <c r="H47">
        <v>65</v>
      </c>
      <c r="I47" s="3">
        <v>146.32</v>
      </c>
      <c r="J47">
        <f t="shared" si="0"/>
        <v>9510.7999999999993</v>
      </c>
    </row>
    <row r="48" spans="1:10" ht="15.75" x14ac:dyDescent="0.25">
      <c r="A48">
        <v>46</v>
      </c>
      <c r="B48" s="5">
        <v>43846</v>
      </c>
      <c r="C48" t="s">
        <v>47</v>
      </c>
      <c r="D48" t="s">
        <v>195</v>
      </c>
      <c r="E48" s="2" t="s">
        <v>196</v>
      </c>
      <c r="F48" t="s">
        <v>310</v>
      </c>
      <c r="G48" t="s" cm="1">
        <v>324</v>
      </c>
      <c r="H48">
        <v>90</v>
      </c>
      <c r="I48" s="3">
        <v>166.38</v>
      </c>
      <c r="J48">
        <f t="shared" si="0"/>
        <v>14974.199999999999</v>
      </c>
    </row>
    <row r="49" spans="1:10" ht="15.75" x14ac:dyDescent="0.25">
      <c r="A49">
        <v>47</v>
      </c>
      <c r="B49" s="5">
        <v>44451</v>
      </c>
      <c r="C49" t="s">
        <v>48</v>
      </c>
      <c r="D49" t="s">
        <v>197</v>
      </c>
      <c r="E49" s="2" t="s">
        <v>198</v>
      </c>
      <c r="F49" t="s">
        <v>310</v>
      </c>
      <c r="G49" t="s" cm="1">
        <v>323</v>
      </c>
      <c r="H49">
        <v>21</v>
      </c>
      <c r="I49" s="3">
        <v>141.6</v>
      </c>
      <c r="J49">
        <f t="shared" si="0"/>
        <v>2973.6</v>
      </c>
    </row>
    <row r="50" spans="1:10" ht="15.75" x14ac:dyDescent="0.25">
      <c r="A50">
        <v>48</v>
      </c>
      <c r="B50" s="5">
        <v>42897</v>
      </c>
      <c r="C50" t="s">
        <v>49</v>
      </c>
      <c r="D50" t="s">
        <v>199</v>
      </c>
      <c r="E50" s="2" t="s">
        <v>200</v>
      </c>
      <c r="F50" t="s">
        <v>308</v>
      </c>
      <c r="G50" t="s" cm="1">
        <v>321</v>
      </c>
      <c r="H50">
        <v>18</v>
      </c>
      <c r="I50" s="3">
        <v>226.56</v>
      </c>
      <c r="J50">
        <f t="shared" si="0"/>
        <v>4078.08</v>
      </c>
    </row>
    <row r="51" spans="1:10" ht="15.75" x14ac:dyDescent="0.25">
      <c r="A51">
        <v>49</v>
      </c>
      <c r="B51" s="5">
        <v>42462</v>
      </c>
      <c r="C51" t="s">
        <v>50</v>
      </c>
      <c r="D51" t="s">
        <v>201</v>
      </c>
      <c r="E51" s="2" t="s">
        <v>202</v>
      </c>
      <c r="F51" t="s">
        <v>310</v>
      </c>
      <c r="G51" t="s" cm="1">
        <v>319</v>
      </c>
      <c r="H51">
        <v>87</v>
      </c>
      <c r="I51" s="3">
        <v>230.1</v>
      </c>
      <c r="J51">
        <f t="shared" si="0"/>
        <v>20018.7</v>
      </c>
    </row>
    <row r="52" spans="1:10" ht="15.75" x14ac:dyDescent="0.25">
      <c r="A52">
        <v>50</v>
      </c>
      <c r="B52" s="5">
        <v>43628</v>
      </c>
      <c r="C52" t="s">
        <v>51</v>
      </c>
      <c r="D52" t="s">
        <v>203</v>
      </c>
      <c r="E52" s="2" t="s">
        <v>204</v>
      </c>
      <c r="F52" t="s">
        <v>309</v>
      </c>
      <c r="G52" t="s" cm="1">
        <v>319</v>
      </c>
      <c r="H52">
        <v>100</v>
      </c>
      <c r="I52" s="3">
        <v>164.01999999999998</v>
      </c>
      <c r="J52">
        <f t="shared" si="0"/>
        <v>16402</v>
      </c>
    </row>
    <row r="53" spans="1:10" ht="15.75" x14ac:dyDescent="0.25">
      <c r="A53">
        <v>51</v>
      </c>
      <c r="B53" s="5">
        <v>43962</v>
      </c>
      <c r="C53" t="s">
        <v>52</v>
      </c>
      <c r="D53" t="s">
        <v>205</v>
      </c>
      <c r="E53" s="2" t="s">
        <v>206</v>
      </c>
      <c r="F53" t="s">
        <v>309</v>
      </c>
      <c r="G53" t="s" cm="1">
        <v>324</v>
      </c>
      <c r="H53">
        <v>86</v>
      </c>
      <c r="I53" s="3">
        <v>189.98</v>
      </c>
      <c r="J53">
        <f t="shared" si="0"/>
        <v>16338.279999999999</v>
      </c>
    </row>
    <row r="54" spans="1:10" ht="15.75" x14ac:dyDescent="0.25">
      <c r="A54">
        <v>52</v>
      </c>
      <c r="B54" s="5">
        <v>43139</v>
      </c>
      <c r="C54" t="s">
        <v>53</v>
      </c>
      <c r="D54" t="s">
        <v>207</v>
      </c>
      <c r="E54" s="2" t="s">
        <v>208</v>
      </c>
      <c r="F54" t="s">
        <v>311</v>
      </c>
      <c r="G54" t="s" cm="1">
        <v>324</v>
      </c>
      <c r="H54">
        <v>71</v>
      </c>
      <c r="I54" s="3">
        <v>193.51999999999998</v>
      </c>
      <c r="J54">
        <f t="shared" si="0"/>
        <v>13739.919999999998</v>
      </c>
    </row>
    <row r="55" spans="1:10" ht="15.75" x14ac:dyDescent="0.25">
      <c r="A55">
        <v>53</v>
      </c>
      <c r="B55" s="5">
        <v>43613</v>
      </c>
      <c r="C55" t="s">
        <v>54</v>
      </c>
      <c r="D55" t="s">
        <v>209</v>
      </c>
      <c r="E55" s="2" t="s">
        <v>210</v>
      </c>
      <c r="F55" t="s">
        <v>308</v>
      </c>
      <c r="G55" t="s" cm="1">
        <v>320</v>
      </c>
      <c r="H55">
        <v>62</v>
      </c>
      <c r="I55" s="3">
        <v>127.44</v>
      </c>
      <c r="J55">
        <f t="shared" si="0"/>
        <v>7901.28</v>
      </c>
    </row>
    <row r="56" spans="1:10" ht="15.75" x14ac:dyDescent="0.25">
      <c r="A56">
        <v>54</v>
      </c>
      <c r="B56" s="5">
        <v>43193</v>
      </c>
      <c r="C56" t="s">
        <v>55</v>
      </c>
      <c r="D56" t="s">
        <v>211</v>
      </c>
      <c r="E56" s="2" t="s">
        <v>212</v>
      </c>
      <c r="F56" t="s">
        <v>309</v>
      </c>
      <c r="G56" t="s" cm="1">
        <v>319</v>
      </c>
      <c r="H56">
        <v>78</v>
      </c>
      <c r="I56" s="3">
        <v>160.47999999999999</v>
      </c>
      <c r="J56">
        <f t="shared" si="0"/>
        <v>12517.439999999999</v>
      </c>
    </row>
    <row r="57" spans="1:10" ht="15.75" x14ac:dyDescent="0.25">
      <c r="A57">
        <v>55</v>
      </c>
      <c r="B57" s="5">
        <v>44093</v>
      </c>
      <c r="C57" t="s">
        <v>56</v>
      </c>
      <c r="D57" t="s">
        <v>213</v>
      </c>
      <c r="E57" s="2" t="s">
        <v>214</v>
      </c>
      <c r="F57" t="s">
        <v>311</v>
      </c>
      <c r="G57" t="s" cm="1">
        <v>321</v>
      </c>
      <c r="H57">
        <v>88</v>
      </c>
      <c r="I57" s="3">
        <v>197.06</v>
      </c>
      <c r="J57">
        <f t="shared" si="0"/>
        <v>17341.28</v>
      </c>
    </row>
    <row r="58" spans="1:10" ht="15.75" x14ac:dyDescent="0.25">
      <c r="A58">
        <v>56</v>
      </c>
      <c r="B58" s="5">
        <v>43213</v>
      </c>
      <c r="C58" t="s">
        <v>57</v>
      </c>
      <c r="D58" t="s">
        <v>215</v>
      </c>
      <c r="E58" s="2" t="s">
        <v>216</v>
      </c>
      <c r="F58" t="s">
        <v>308</v>
      </c>
      <c r="G58" t="s" cm="1">
        <v>324</v>
      </c>
      <c r="H58">
        <v>96</v>
      </c>
      <c r="I58" s="3">
        <v>206.5</v>
      </c>
      <c r="J58">
        <f t="shared" si="0"/>
        <v>19824</v>
      </c>
    </row>
    <row r="59" spans="1:10" ht="15.75" x14ac:dyDescent="0.25">
      <c r="A59">
        <v>57</v>
      </c>
      <c r="B59" s="5">
        <v>42518</v>
      </c>
      <c r="C59" t="s">
        <v>58</v>
      </c>
      <c r="D59" t="s">
        <v>217</v>
      </c>
      <c r="E59" s="2" t="s">
        <v>218</v>
      </c>
      <c r="F59" t="s">
        <v>308</v>
      </c>
      <c r="G59" t="s" cm="1">
        <v>324</v>
      </c>
      <c r="H59">
        <v>72</v>
      </c>
      <c r="I59" s="3">
        <v>231.28</v>
      </c>
      <c r="J59">
        <f t="shared" si="0"/>
        <v>16652.16</v>
      </c>
    </row>
    <row r="60" spans="1:10" ht="15.75" x14ac:dyDescent="0.25">
      <c r="A60">
        <v>58</v>
      </c>
      <c r="B60" s="5">
        <v>43075</v>
      </c>
      <c r="C60" t="s">
        <v>59</v>
      </c>
      <c r="D60" t="s">
        <v>219</v>
      </c>
      <c r="E60" s="2" t="s">
        <v>220</v>
      </c>
      <c r="F60" t="s">
        <v>311</v>
      </c>
      <c r="G60" t="s" cm="1">
        <v>321</v>
      </c>
      <c r="H60">
        <v>56</v>
      </c>
      <c r="I60" s="3">
        <v>181.72</v>
      </c>
      <c r="J60">
        <f t="shared" si="0"/>
        <v>10176.32</v>
      </c>
    </row>
    <row r="61" spans="1:10" ht="15.75" x14ac:dyDescent="0.25">
      <c r="A61">
        <v>59</v>
      </c>
      <c r="B61" s="5">
        <v>43792</v>
      </c>
      <c r="C61" t="s">
        <v>60</v>
      </c>
      <c r="D61" t="s">
        <v>221</v>
      </c>
      <c r="E61" s="2" t="s">
        <v>222</v>
      </c>
      <c r="F61" t="s">
        <v>308</v>
      </c>
      <c r="G61" t="s" cm="1">
        <v>322</v>
      </c>
      <c r="H61">
        <v>65</v>
      </c>
      <c r="I61" s="3">
        <v>218.29999999999998</v>
      </c>
      <c r="J61">
        <f t="shared" si="0"/>
        <v>14189.499999999998</v>
      </c>
    </row>
    <row r="62" spans="1:10" ht="15.75" x14ac:dyDescent="0.25">
      <c r="A62">
        <v>60</v>
      </c>
      <c r="B62" s="5">
        <v>43815</v>
      </c>
      <c r="C62" t="s">
        <v>61</v>
      </c>
      <c r="D62" t="s">
        <v>223</v>
      </c>
      <c r="E62" s="2" t="s">
        <v>224</v>
      </c>
      <c r="F62" t="s">
        <v>311</v>
      </c>
      <c r="G62" t="s" cm="1">
        <v>322</v>
      </c>
      <c r="H62">
        <v>57</v>
      </c>
      <c r="I62" s="3">
        <v>221.83999999999997</v>
      </c>
      <c r="J62">
        <f t="shared" si="0"/>
        <v>12644.88</v>
      </c>
    </row>
    <row r="63" spans="1:10" ht="15.75" x14ac:dyDescent="0.25">
      <c r="A63">
        <v>61</v>
      </c>
      <c r="B63" s="5">
        <v>44357</v>
      </c>
      <c r="C63" t="s">
        <v>62</v>
      </c>
      <c r="D63" t="s">
        <v>225</v>
      </c>
      <c r="E63" s="2" t="s">
        <v>226</v>
      </c>
      <c r="F63" t="s">
        <v>309</v>
      </c>
      <c r="G63" t="s" cm="1">
        <v>324</v>
      </c>
      <c r="H63">
        <v>34</v>
      </c>
      <c r="I63" s="3">
        <v>208.85999999999999</v>
      </c>
      <c r="J63">
        <f t="shared" si="0"/>
        <v>7101.24</v>
      </c>
    </row>
    <row r="64" spans="1:10" ht="15.75" x14ac:dyDescent="0.25">
      <c r="A64">
        <v>62</v>
      </c>
      <c r="B64" s="5">
        <v>44527</v>
      </c>
      <c r="C64" t="s">
        <v>63</v>
      </c>
      <c r="D64" t="s">
        <v>227</v>
      </c>
      <c r="E64" s="2" t="s">
        <v>228</v>
      </c>
      <c r="F64" t="s">
        <v>310</v>
      </c>
      <c r="G64" t="s" cm="1">
        <v>320</v>
      </c>
      <c r="H64">
        <v>80</v>
      </c>
      <c r="I64" s="3">
        <v>181.72</v>
      </c>
      <c r="J64">
        <f t="shared" si="0"/>
        <v>14537.6</v>
      </c>
    </row>
    <row r="65" spans="1:10" ht="15.75" x14ac:dyDescent="0.25">
      <c r="A65">
        <v>63</v>
      </c>
      <c r="B65" s="5">
        <v>42966</v>
      </c>
      <c r="C65" t="s">
        <v>64</v>
      </c>
      <c r="D65" t="s">
        <v>229</v>
      </c>
      <c r="E65" s="2" t="s">
        <v>230</v>
      </c>
      <c r="F65" t="s">
        <v>309</v>
      </c>
      <c r="G65" t="s" cm="1">
        <v>321</v>
      </c>
      <c r="H65">
        <v>28</v>
      </c>
      <c r="I65" s="3">
        <v>118</v>
      </c>
      <c r="J65">
        <f t="shared" si="0"/>
        <v>3304</v>
      </c>
    </row>
    <row r="66" spans="1:10" ht="15.75" x14ac:dyDescent="0.25">
      <c r="A66">
        <v>64</v>
      </c>
      <c r="B66" s="5">
        <v>44166</v>
      </c>
      <c r="C66" t="s">
        <v>65</v>
      </c>
      <c r="D66" t="s">
        <v>231</v>
      </c>
      <c r="E66" s="2" t="s">
        <v>232</v>
      </c>
      <c r="F66" t="s">
        <v>309</v>
      </c>
      <c r="G66" t="s" cm="1">
        <v>319</v>
      </c>
      <c r="H66">
        <v>92</v>
      </c>
      <c r="I66" s="3">
        <v>173.45999999999998</v>
      </c>
      <c r="J66">
        <f t="shared" si="0"/>
        <v>15958.319999999998</v>
      </c>
    </row>
    <row r="67" spans="1:10" ht="15.75" x14ac:dyDescent="0.25">
      <c r="A67">
        <v>65</v>
      </c>
      <c r="B67" s="5">
        <v>42574</v>
      </c>
      <c r="C67" t="s">
        <v>66</v>
      </c>
      <c r="D67" t="s">
        <v>233</v>
      </c>
      <c r="E67" s="2" t="s">
        <v>234</v>
      </c>
      <c r="F67" t="s">
        <v>309</v>
      </c>
      <c r="G67" t="s" cm="1">
        <v>323</v>
      </c>
      <c r="H67">
        <v>11</v>
      </c>
      <c r="I67" s="3">
        <v>226.56</v>
      </c>
      <c r="J67">
        <f t="shared" si="0"/>
        <v>2492.16</v>
      </c>
    </row>
    <row r="68" spans="1:10" ht="15.75" x14ac:dyDescent="0.25">
      <c r="A68">
        <v>66</v>
      </c>
      <c r="B68" s="5">
        <v>44163</v>
      </c>
      <c r="C68" t="s">
        <v>67</v>
      </c>
      <c r="D68" t="s">
        <v>235</v>
      </c>
      <c r="E68" s="2" t="s">
        <v>236</v>
      </c>
      <c r="F68" t="s">
        <v>309</v>
      </c>
      <c r="G68" t="s" cm="1">
        <v>320</v>
      </c>
      <c r="H68">
        <v>53</v>
      </c>
      <c r="I68" s="3">
        <v>197.06</v>
      </c>
      <c r="J68">
        <f t="shared" ref="J68:J103" si="1">H68*I68</f>
        <v>10444.18</v>
      </c>
    </row>
    <row r="69" spans="1:10" ht="15.75" x14ac:dyDescent="0.25">
      <c r="A69">
        <v>67</v>
      </c>
      <c r="B69" s="5">
        <v>44311</v>
      </c>
      <c r="C69" t="s">
        <v>68</v>
      </c>
      <c r="D69" t="s">
        <v>237</v>
      </c>
      <c r="E69" s="2" t="s">
        <v>238</v>
      </c>
      <c r="F69" t="s">
        <v>311</v>
      </c>
      <c r="G69" t="s" cm="1">
        <v>320</v>
      </c>
      <c r="H69">
        <v>60</v>
      </c>
      <c r="I69" s="3">
        <v>181.72</v>
      </c>
      <c r="J69">
        <f t="shared" si="1"/>
        <v>10903.2</v>
      </c>
    </row>
    <row r="70" spans="1:10" ht="15.75" x14ac:dyDescent="0.25">
      <c r="A70">
        <v>68</v>
      </c>
      <c r="B70" s="5">
        <v>43354</v>
      </c>
      <c r="C70" t="s">
        <v>69</v>
      </c>
      <c r="D70" t="s">
        <v>239</v>
      </c>
      <c r="E70" s="2" t="s">
        <v>240</v>
      </c>
      <c r="F70" t="s">
        <v>311</v>
      </c>
      <c r="G70" t="s" cm="1">
        <v>319</v>
      </c>
      <c r="H70">
        <v>27</v>
      </c>
      <c r="I70" s="3">
        <v>220.66</v>
      </c>
      <c r="J70">
        <f t="shared" si="1"/>
        <v>5957.82</v>
      </c>
    </row>
    <row r="71" spans="1:10" ht="15.75" x14ac:dyDescent="0.25">
      <c r="A71">
        <v>69</v>
      </c>
      <c r="B71" s="5">
        <v>42390</v>
      </c>
      <c r="C71" t="s">
        <v>70</v>
      </c>
      <c r="D71" t="s">
        <v>241</v>
      </c>
      <c r="E71" s="2" t="s">
        <v>242</v>
      </c>
      <c r="F71" t="s">
        <v>311</v>
      </c>
      <c r="G71" t="s" cm="1">
        <v>319</v>
      </c>
      <c r="H71">
        <v>42</v>
      </c>
      <c r="I71" s="3">
        <v>218.29999999999998</v>
      </c>
      <c r="J71">
        <f t="shared" si="1"/>
        <v>9168.5999999999985</v>
      </c>
    </row>
    <row r="72" spans="1:10" ht="15.75" x14ac:dyDescent="0.25">
      <c r="A72">
        <v>70</v>
      </c>
      <c r="B72" s="5">
        <v>43672</v>
      </c>
      <c r="C72" t="s">
        <v>71</v>
      </c>
      <c r="D72" t="s">
        <v>243</v>
      </c>
      <c r="E72" s="2" t="s">
        <v>244</v>
      </c>
      <c r="F72" t="s">
        <v>309</v>
      </c>
      <c r="G72" t="s" cm="1">
        <v>319</v>
      </c>
      <c r="H72">
        <v>37</v>
      </c>
      <c r="I72" s="3">
        <v>178.17999999999998</v>
      </c>
      <c r="J72">
        <f t="shared" si="1"/>
        <v>6592.6599999999989</v>
      </c>
    </row>
    <row r="73" spans="1:10" ht="15.75" x14ac:dyDescent="0.25">
      <c r="A73">
        <v>71</v>
      </c>
      <c r="B73" s="5">
        <v>42894</v>
      </c>
      <c r="C73" t="s">
        <v>72</v>
      </c>
      <c r="D73" t="s">
        <v>245</v>
      </c>
      <c r="E73" s="2" t="s">
        <v>246</v>
      </c>
      <c r="F73" t="s">
        <v>310</v>
      </c>
      <c r="G73" t="s" cm="1">
        <v>324</v>
      </c>
      <c r="H73">
        <v>40</v>
      </c>
      <c r="I73" s="3">
        <v>210.04</v>
      </c>
      <c r="J73">
        <f t="shared" si="1"/>
        <v>8401.6</v>
      </c>
    </row>
    <row r="74" spans="1:10" ht="15.75" x14ac:dyDescent="0.25">
      <c r="A74">
        <v>72</v>
      </c>
      <c r="B74" s="5">
        <v>43837</v>
      </c>
      <c r="C74" t="s">
        <v>73</v>
      </c>
      <c r="D74" t="s">
        <v>247</v>
      </c>
      <c r="E74" s="2" t="s">
        <v>248</v>
      </c>
      <c r="F74" t="s">
        <v>308</v>
      </c>
      <c r="G74" t="s" cm="1">
        <v>323</v>
      </c>
      <c r="H74">
        <v>67</v>
      </c>
      <c r="I74" s="3">
        <v>208.85999999999999</v>
      </c>
      <c r="J74">
        <f t="shared" si="1"/>
        <v>13993.619999999999</v>
      </c>
    </row>
    <row r="75" spans="1:10" ht="15.75" x14ac:dyDescent="0.25">
      <c r="A75">
        <v>73</v>
      </c>
      <c r="B75" s="5">
        <v>42593</v>
      </c>
      <c r="C75" t="s">
        <v>74</v>
      </c>
      <c r="D75" t="s">
        <v>249</v>
      </c>
      <c r="E75" s="2" t="s">
        <v>250</v>
      </c>
      <c r="F75" t="s">
        <v>308</v>
      </c>
      <c r="G75" t="s" cm="1">
        <v>320</v>
      </c>
      <c r="H75">
        <v>12</v>
      </c>
      <c r="I75" s="3">
        <v>211.22</v>
      </c>
      <c r="J75">
        <f t="shared" si="1"/>
        <v>2534.64</v>
      </c>
    </row>
    <row r="76" spans="1:10" ht="15.75" x14ac:dyDescent="0.25">
      <c r="A76">
        <v>74</v>
      </c>
      <c r="B76" s="5">
        <v>43229</v>
      </c>
      <c r="C76" t="s">
        <v>75</v>
      </c>
      <c r="D76" t="s">
        <v>251</v>
      </c>
      <c r="E76" s="2" t="s">
        <v>252</v>
      </c>
      <c r="F76" t="s">
        <v>311</v>
      </c>
      <c r="G76" t="s" cm="1">
        <v>322</v>
      </c>
      <c r="H76">
        <v>48</v>
      </c>
      <c r="I76" s="3">
        <v>136.88</v>
      </c>
      <c r="J76">
        <f t="shared" si="1"/>
        <v>6570.24</v>
      </c>
    </row>
    <row r="77" spans="1:10" ht="15.75" x14ac:dyDescent="0.25">
      <c r="A77">
        <v>75</v>
      </c>
      <c r="B77" s="5">
        <v>43678</v>
      </c>
      <c r="C77" t="s">
        <v>76</v>
      </c>
      <c r="D77" t="s">
        <v>253</v>
      </c>
      <c r="E77" s="2" t="s">
        <v>254</v>
      </c>
      <c r="F77" t="s">
        <v>308</v>
      </c>
      <c r="G77" t="s" cm="1">
        <v>324</v>
      </c>
      <c r="H77">
        <v>42</v>
      </c>
      <c r="I77" s="3">
        <v>174.64</v>
      </c>
      <c r="J77">
        <f t="shared" si="1"/>
        <v>7334.8799999999992</v>
      </c>
    </row>
    <row r="78" spans="1:10" ht="15.75" x14ac:dyDescent="0.25">
      <c r="A78">
        <v>76</v>
      </c>
      <c r="B78" s="5">
        <v>42435</v>
      </c>
      <c r="C78" t="s">
        <v>77</v>
      </c>
      <c r="D78" t="s">
        <v>255</v>
      </c>
      <c r="E78" s="2" t="s">
        <v>256</v>
      </c>
      <c r="F78" t="s">
        <v>311</v>
      </c>
      <c r="G78" t="s" cm="1">
        <v>320</v>
      </c>
      <c r="H78">
        <v>17</v>
      </c>
      <c r="I78" s="3">
        <v>142.78</v>
      </c>
      <c r="J78">
        <f t="shared" si="1"/>
        <v>2427.2600000000002</v>
      </c>
    </row>
    <row r="79" spans="1:10" ht="15.75" x14ac:dyDescent="0.25">
      <c r="A79">
        <v>77</v>
      </c>
      <c r="B79" s="5">
        <v>44142</v>
      </c>
      <c r="C79" t="s">
        <v>78</v>
      </c>
      <c r="D79" t="s">
        <v>257</v>
      </c>
      <c r="E79" s="2" t="s">
        <v>258</v>
      </c>
      <c r="F79" t="s">
        <v>308</v>
      </c>
      <c r="G79" t="s" cm="1">
        <v>323</v>
      </c>
      <c r="H79">
        <v>79</v>
      </c>
      <c r="I79" s="3">
        <v>224.2</v>
      </c>
      <c r="J79">
        <f t="shared" si="1"/>
        <v>17711.8</v>
      </c>
    </row>
    <row r="80" spans="1:10" ht="15.75" x14ac:dyDescent="0.25">
      <c r="A80">
        <v>78</v>
      </c>
      <c r="B80" s="5">
        <v>44199</v>
      </c>
      <c r="C80" t="s">
        <v>79</v>
      </c>
      <c r="D80" t="s">
        <v>259</v>
      </c>
      <c r="E80" s="2" t="s">
        <v>260</v>
      </c>
      <c r="F80" t="s">
        <v>309</v>
      </c>
      <c r="G80" t="s" cm="1">
        <v>324</v>
      </c>
      <c r="H80">
        <v>28</v>
      </c>
      <c r="I80" s="3">
        <v>127.44</v>
      </c>
      <c r="J80">
        <f t="shared" si="1"/>
        <v>3568.3199999999997</v>
      </c>
    </row>
    <row r="81" spans="1:10" ht="15.75" x14ac:dyDescent="0.25">
      <c r="A81">
        <v>79</v>
      </c>
      <c r="B81" s="5">
        <v>43691</v>
      </c>
      <c r="C81" t="s">
        <v>80</v>
      </c>
      <c r="D81" t="s">
        <v>261</v>
      </c>
      <c r="E81" s="2" t="s">
        <v>262</v>
      </c>
      <c r="F81" t="s">
        <v>308</v>
      </c>
      <c r="G81" t="s" cm="1">
        <v>320</v>
      </c>
      <c r="H81">
        <v>55</v>
      </c>
      <c r="I81" s="3">
        <v>200.6</v>
      </c>
      <c r="J81">
        <f t="shared" si="1"/>
        <v>11033</v>
      </c>
    </row>
    <row r="82" spans="1:10" ht="15.75" x14ac:dyDescent="0.25">
      <c r="A82">
        <v>80</v>
      </c>
      <c r="B82" s="5">
        <v>42669</v>
      </c>
      <c r="C82" t="s">
        <v>81</v>
      </c>
      <c r="D82" t="s">
        <v>263</v>
      </c>
      <c r="E82" s="2" t="s">
        <v>264</v>
      </c>
      <c r="F82" t="s">
        <v>308</v>
      </c>
      <c r="G82" t="s" cm="1">
        <v>321</v>
      </c>
      <c r="H82">
        <v>61</v>
      </c>
      <c r="I82" s="3">
        <v>218.29999999999998</v>
      </c>
      <c r="J82">
        <f t="shared" si="1"/>
        <v>13316.3</v>
      </c>
    </row>
    <row r="83" spans="1:10" ht="15.75" x14ac:dyDescent="0.25">
      <c r="A83">
        <v>81</v>
      </c>
      <c r="B83" s="5">
        <v>43789</v>
      </c>
      <c r="C83" t="s">
        <v>82</v>
      </c>
      <c r="D83" t="s">
        <v>265</v>
      </c>
      <c r="E83" s="2" t="s">
        <v>266</v>
      </c>
      <c r="F83" t="s">
        <v>311</v>
      </c>
      <c r="G83" t="s" cm="1">
        <v>319</v>
      </c>
      <c r="H83">
        <v>88</v>
      </c>
      <c r="I83" s="3">
        <v>210.04</v>
      </c>
      <c r="J83">
        <f t="shared" si="1"/>
        <v>18483.52</v>
      </c>
    </row>
    <row r="84" spans="1:10" ht="15.75" x14ac:dyDescent="0.25">
      <c r="A84">
        <v>82</v>
      </c>
      <c r="B84" s="5">
        <v>43001</v>
      </c>
      <c r="C84" t="s">
        <v>83</v>
      </c>
      <c r="D84" t="s">
        <v>267</v>
      </c>
      <c r="E84" s="2" t="s">
        <v>268</v>
      </c>
      <c r="F84" t="s">
        <v>310</v>
      </c>
      <c r="G84" t="s" cm="1">
        <v>322</v>
      </c>
      <c r="H84">
        <v>76</v>
      </c>
      <c r="I84" s="3">
        <v>191.16</v>
      </c>
      <c r="J84">
        <f t="shared" si="1"/>
        <v>14528.16</v>
      </c>
    </row>
    <row r="85" spans="1:10" ht="15.75" x14ac:dyDescent="0.25">
      <c r="A85">
        <v>83</v>
      </c>
      <c r="B85" s="5">
        <v>44454</v>
      </c>
      <c r="C85" t="s">
        <v>84</v>
      </c>
      <c r="D85" t="s">
        <v>269</v>
      </c>
      <c r="E85" s="2" t="s">
        <v>270</v>
      </c>
      <c r="F85" t="s">
        <v>311</v>
      </c>
      <c r="G85" t="s" cm="1">
        <v>319</v>
      </c>
      <c r="H85">
        <v>83</v>
      </c>
      <c r="I85" s="3">
        <v>208.85999999999999</v>
      </c>
      <c r="J85">
        <f t="shared" si="1"/>
        <v>17335.379999999997</v>
      </c>
    </row>
    <row r="86" spans="1:10" ht="15.75" x14ac:dyDescent="0.25">
      <c r="A86">
        <v>84</v>
      </c>
      <c r="B86" s="5">
        <v>44307</v>
      </c>
      <c r="C86" t="s">
        <v>85</v>
      </c>
      <c r="D86" t="s">
        <v>271</v>
      </c>
      <c r="E86" s="2" t="s">
        <v>272</v>
      </c>
      <c r="F86" t="s">
        <v>310</v>
      </c>
      <c r="G86" t="s" cm="1">
        <v>324</v>
      </c>
      <c r="H86">
        <v>64</v>
      </c>
      <c r="I86" s="3">
        <v>168.73999999999998</v>
      </c>
      <c r="J86">
        <f t="shared" si="1"/>
        <v>10799.359999999999</v>
      </c>
    </row>
    <row r="87" spans="1:10" ht="15.75" x14ac:dyDescent="0.25">
      <c r="A87">
        <v>85</v>
      </c>
      <c r="B87" s="5">
        <v>43059</v>
      </c>
      <c r="C87" t="s">
        <v>86</v>
      </c>
      <c r="D87" t="s">
        <v>273</v>
      </c>
      <c r="E87" s="2" t="s">
        <v>274</v>
      </c>
      <c r="F87" t="s">
        <v>311</v>
      </c>
      <c r="G87" t="s" cm="1">
        <v>323</v>
      </c>
      <c r="H87">
        <v>66</v>
      </c>
      <c r="I87" s="3">
        <v>169.92</v>
      </c>
      <c r="J87">
        <f t="shared" si="1"/>
        <v>11214.72</v>
      </c>
    </row>
    <row r="88" spans="1:10" ht="15.75" x14ac:dyDescent="0.25">
      <c r="A88">
        <v>86</v>
      </c>
      <c r="B88" s="5">
        <v>42843</v>
      </c>
      <c r="C88" t="s">
        <v>87</v>
      </c>
      <c r="D88" t="s">
        <v>275</v>
      </c>
      <c r="E88" s="2" t="s">
        <v>276</v>
      </c>
      <c r="F88" t="s">
        <v>310</v>
      </c>
      <c r="G88" t="s" cm="1">
        <v>323</v>
      </c>
      <c r="H88">
        <v>73</v>
      </c>
      <c r="I88" s="3">
        <v>172.28</v>
      </c>
      <c r="J88">
        <f t="shared" si="1"/>
        <v>12576.44</v>
      </c>
    </row>
    <row r="89" spans="1:10" ht="15.75" x14ac:dyDescent="0.25">
      <c r="A89">
        <v>87</v>
      </c>
      <c r="B89" s="5">
        <v>43020</v>
      </c>
      <c r="C89" t="s">
        <v>88</v>
      </c>
      <c r="D89" t="s">
        <v>277</v>
      </c>
      <c r="E89" s="2" t="s">
        <v>278</v>
      </c>
      <c r="F89" t="s">
        <v>308</v>
      </c>
      <c r="G89" t="s" cm="1">
        <v>322</v>
      </c>
      <c r="H89">
        <v>47</v>
      </c>
      <c r="I89" s="3">
        <v>127.44</v>
      </c>
      <c r="J89">
        <f t="shared" si="1"/>
        <v>5989.68</v>
      </c>
    </row>
    <row r="90" spans="1:10" ht="15.75" x14ac:dyDescent="0.25">
      <c r="A90">
        <v>88</v>
      </c>
      <c r="B90" s="5">
        <v>43927</v>
      </c>
      <c r="C90" t="s">
        <v>89</v>
      </c>
      <c r="D90" t="s">
        <v>279</v>
      </c>
      <c r="E90" s="2" t="s">
        <v>280</v>
      </c>
      <c r="F90" t="s">
        <v>310</v>
      </c>
      <c r="G90" t="s" cm="1">
        <v>319</v>
      </c>
      <c r="H90">
        <v>93</v>
      </c>
      <c r="I90" s="3">
        <v>145.13999999999999</v>
      </c>
      <c r="J90">
        <f t="shared" si="1"/>
        <v>13498.019999999999</v>
      </c>
    </row>
    <row r="91" spans="1:10" ht="15.75" x14ac:dyDescent="0.25">
      <c r="A91">
        <v>89</v>
      </c>
      <c r="B91" s="5">
        <v>44288</v>
      </c>
      <c r="C91" t="s">
        <v>90</v>
      </c>
      <c r="D91" t="s">
        <v>281</v>
      </c>
      <c r="E91" s="2" t="s">
        <v>282</v>
      </c>
      <c r="F91" t="s">
        <v>311</v>
      </c>
      <c r="G91" t="s" cm="1">
        <v>319</v>
      </c>
      <c r="H91">
        <v>29</v>
      </c>
      <c r="I91" s="3">
        <v>234.82</v>
      </c>
      <c r="J91">
        <f t="shared" si="1"/>
        <v>6809.78</v>
      </c>
    </row>
    <row r="92" spans="1:10" ht="15.75" x14ac:dyDescent="0.25">
      <c r="A92">
        <v>90</v>
      </c>
      <c r="B92" s="5">
        <v>43462</v>
      </c>
      <c r="C92" t="s">
        <v>91</v>
      </c>
      <c r="D92" t="s">
        <v>283</v>
      </c>
      <c r="E92" s="2" t="s">
        <v>284</v>
      </c>
      <c r="F92" t="s">
        <v>308</v>
      </c>
      <c r="G92" t="s" cm="1">
        <v>323</v>
      </c>
      <c r="H92">
        <v>54</v>
      </c>
      <c r="I92" s="3">
        <v>151.04</v>
      </c>
      <c r="J92">
        <f t="shared" si="1"/>
        <v>8156.16</v>
      </c>
    </row>
    <row r="93" spans="1:10" ht="15.75" x14ac:dyDescent="0.25">
      <c r="A93">
        <v>91</v>
      </c>
      <c r="B93" s="5">
        <v>43619</v>
      </c>
      <c r="C93" t="s">
        <v>92</v>
      </c>
      <c r="D93" t="s">
        <v>285</v>
      </c>
      <c r="E93" s="2" t="s">
        <v>286</v>
      </c>
      <c r="F93" t="s">
        <v>311</v>
      </c>
      <c r="G93" t="s" cm="1">
        <v>319</v>
      </c>
      <c r="H93">
        <v>76</v>
      </c>
      <c r="I93" s="3">
        <v>156.94</v>
      </c>
      <c r="J93">
        <f t="shared" si="1"/>
        <v>11927.44</v>
      </c>
    </row>
    <row r="94" spans="1:10" ht="15.75" x14ac:dyDescent="0.25">
      <c r="A94">
        <v>92</v>
      </c>
      <c r="B94" s="5">
        <v>42443</v>
      </c>
      <c r="C94" t="s">
        <v>93</v>
      </c>
      <c r="D94" t="s">
        <v>287</v>
      </c>
      <c r="E94" s="2" t="s">
        <v>288</v>
      </c>
      <c r="F94" t="s">
        <v>309</v>
      </c>
      <c r="G94" t="s" cm="1">
        <v>324</v>
      </c>
      <c r="H94">
        <v>32</v>
      </c>
      <c r="I94" s="3">
        <v>236</v>
      </c>
      <c r="J94">
        <f t="shared" si="1"/>
        <v>7552</v>
      </c>
    </row>
    <row r="95" spans="1:10" ht="15.75" x14ac:dyDescent="0.25">
      <c r="A95">
        <v>93</v>
      </c>
      <c r="B95" s="5">
        <v>42559</v>
      </c>
      <c r="C95" t="s">
        <v>94</v>
      </c>
      <c r="D95" t="s">
        <v>289</v>
      </c>
      <c r="E95" s="2" t="s">
        <v>290</v>
      </c>
      <c r="F95" t="s">
        <v>310</v>
      </c>
      <c r="G95" t="s" cm="1">
        <v>323</v>
      </c>
      <c r="H95">
        <v>45</v>
      </c>
      <c r="I95" s="3">
        <v>156.94</v>
      </c>
      <c r="J95">
        <f t="shared" si="1"/>
        <v>7062.3</v>
      </c>
    </row>
    <row r="96" spans="1:10" ht="15.75" x14ac:dyDescent="0.25">
      <c r="A96">
        <v>94</v>
      </c>
      <c r="B96" s="5">
        <v>44488</v>
      </c>
      <c r="C96" t="s">
        <v>95</v>
      </c>
      <c r="D96" t="s">
        <v>291</v>
      </c>
      <c r="E96" s="2" t="s">
        <v>292</v>
      </c>
      <c r="F96" t="s">
        <v>309</v>
      </c>
      <c r="G96" t="s" cm="1">
        <v>323</v>
      </c>
      <c r="H96">
        <v>39</v>
      </c>
      <c r="I96" s="3">
        <v>210.04</v>
      </c>
      <c r="J96">
        <f t="shared" si="1"/>
        <v>8191.5599999999995</v>
      </c>
    </row>
    <row r="97" spans="1:10" ht="15.75" x14ac:dyDescent="0.25">
      <c r="A97">
        <v>95</v>
      </c>
      <c r="B97" s="5">
        <v>44283</v>
      </c>
      <c r="C97" t="s">
        <v>96</v>
      </c>
      <c r="D97" t="s">
        <v>293</v>
      </c>
      <c r="E97" s="2" t="s">
        <v>294</v>
      </c>
      <c r="F97" t="s">
        <v>310</v>
      </c>
      <c r="G97" t="s" cm="1">
        <v>320</v>
      </c>
      <c r="H97">
        <v>82</v>
      </c>
      <c r="I97" s="3">
        <v>208.85999999999999</v>
      </c>
      <c r="J97">
        <f t="shared" si="1"/>
        <v>17126.52</v>
      </c>
    </row>
    <row r="98" spans="1:10" ht="15.75" x14ac:dyDescent="0.25">
      <c r="A98">
        <v>96</v>
      </c>
      <c r="B98" s="5">
        <v>42792</v>
      </c>
      <c r="C98" t="s">
        <v>97</v>
      </c>
      <c r="D98" t="s">
        <v>295</v>
      </c>
      <c r="E98" s="2" t="s">
        <v>296</v>
      </c>
      <c r="F98" t="s">
        <v>310</v>
      </c>
      <c r="G98" t="s" cm="1">
        <v>319</v>
      </c>
      <c r="H98">
        <v>70</v>
      </c>
      <c r="I98" s="3">
        <v>143.95999999999998</v>
      </c>
      <c r="J98">
        <f t="shared" si="1"/>
        <v>10077.199999999999</v>
      </c>
    </row>
    <row r="99" spans="1:10" ht="15.75" x14ac:dyDescent="0.25">
      <c r="A99">
        <v>97</v>
      </c>
      <c r="B99" s="5">
        <v>42524</v>
      </c>
      <c r="C99" t="s">
        <v>98</v>
      </c>
      <c r="D99" t="s">
        <v>297</v>
      </c>
      <c r="E99" s="2" t="s">
        <v>298</v>
      </c>
      <c r="F99" t="s">
        <v>309</v>
      </c>
      <c r="G99" t="s" cm="1">
        <v>321</v>
      </c>
      <c r="H99">
        <v>88</v>
      </c>
      <c r="I99" s="3">
        <v>184.07999999999998</v>
      </c>
      <c r="J99">
        <f t="shared" si="1"/>
        <v>16199.039999999999</v>
      </c>
    </row>
    <row r="100" spans="1:10" ht="15.75" x14ac:dyDescent="0.25">
      <c r="A100">
        <v>98</v>
      </c>
      <c r="B100" s="5">
        <v>43180</v>
      </c>
      <c r="C100" t="s">
        <v>99</v>
      </c>
      <c r="D100" t="s">
        <v>299</v>
      </c>
      <c r="E100" s="2" t="s">
        <v>300</v>
      </c>
      <c r="F100" t="s">
        <v>309</v>
      </c>
      <c r="G100" t="s" cm="1">
        <v>321</v>
      </c>
      <c r="H100">
        <v>28</v>
      </c>
      <c r="I100" s="3">
        <v>179.35999999999999</v>
      </c>
      <c r="J100">
        <f t="shared" si="1"/>
        <v>5022.08</v>
      </c>
    </row>
    <row r="101" spans="1:10" ht="15.75" x14ac:dyDescent="0.25">
      <c r="A101">
        <v>99</v>
      </c>
      <c r="B101" s="5">
        <v>44113</v>
      </c>
      <c r="C101" t="s">
        <v>100</v>
      </c>
      <c r="D101" t="s">
        <v>301</v>
      </c>
      <c r="E101" s="2" t="s">
        <v>302</v>
      </c>
      <c r="F101" t="s">
        <v>309</v>
      </c>
      <c r="G101" t="s" cm="1">
        <v>324</v>
      </c>
      <c r="H101">
        <v>56</v>
      </c>
      <c r="I101" s="3">
        <v>205.32</v>
      </c>
      <c r="J101">
        <f t="shared" si="1"/>
        <v>11497.92</v>
      </c>
    </row>
    <row r="102" spans="1:10" ht="15.75" x14ac:dyDescent="0.25">
      <c r="A102">
        <v>100</v>
      </c>
      <c r="B102" s="5">
        <v>42683</v>
      </c>
      <c r="C102" t="s">
        <v>101</v>
      </c>
      <c r="D102" t="s">
        <v>303</v>
      </c>
      <c r="E102" s="2" t="s">
        <v>304</v>
      </c>
      <c r="F102" t="s">
        <v>308</v>
      </c>
      <c r="G102" t="s" cm="1">
        <v>319</v>
      </c>
      <c r="H102">
        <v>62</v>
      </c>
      <c r="I102" s="3">
        <v>130.97999999999999</v>
      </c>
      <c r="J102">
        <f t="shared" si="1"/>
        <v>8120.7599999999993</v>
      </c>
    </row>
    <row r="103" spans="1:10" ht="15.75" x14ac:dyDescent="0.25">
      <c r="A103">
        <v>101</v>
      </c>
      <c r="B103" s="5">
        <v>44534</v>
      </c>
      <c r="C103" t="s">
        <v>102</v>
      </c>
      <c r="D103" t="s">
        <v>305</v>
      </c>
      <c r="E103" s="2" t="s">
        <v>306</v>
      </c>
      <c r="F103" t="s">
        <v>309</v>
      </c>
      <c r="G103" t="s">
        <v>322</v>
      </c>
      <c r="H103">
        <v>94</v>
      </c>
      <c r="I103" s="3">
        <v>194.7</v>
      </c>
      <c r="J103">
        <f t="shared" si="1"/>
        <v>18301.8</v>
      </c>
    </row>
    <row r="107" spans="1:10" x14ac:dyDescent="0.25">
      <c r="G107" t="s">
        <v>318</v>
      </c>
      <c r="H107">
        <f>SUBTOTAL(109,H3:H104)</f>
        <v>5804</v>
      </c>
    </row>
  </sheetData>
  <conditionalFormatting sqref="D3:D103">
    <cfRule type="duplicateValues" dxfId="1" priority="2"/>
  </conditionalFormatting>
  <conditionalFormatting sqref="E3:E103">
    <cfRule type="duplicateValues" dxfId="0" priority="1"/>
  </conditionalFormatting>
  <pageMargins left="0.7" right="0.7" top="0.75" bottom="0.75" header="0.3" footer="0.3"/>
  <pageSetup orientation="portrait" horizontalDpi="4294967293" verticalDpi="0" r:id="rId1"/>
  <ignoredErrors>
    <ignoredError sqref="E3:E103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D9C31-0756-4C83-8CE1-A7C906C0585B}">
  <dimension ref="E6:N9"/>
  <sheetViews>
    <sheetView workbookViewId="0">
      <selection activeCell="E11" sqref="E11"/>
    </sheetView>
  </sheetViews>
  <sheetFormatPr defaultRowHeight="15" x14ac:dyDescent="0.25"/>
  <cols>
    <col min="5" max="5" width="18.28515625" customWidth="1"/>
    <col min="6" max="6" width="27.5703125" customWidth="1"/>
  </cols>
  <sheetData>
    <row r="6" spans="5:14" x14ac:dyDescent="0.25">
      <c r="E6" s="8" t="s">
        <v>316</v>
      </c>
      <c r="F6" s="8"/>
      <c r="G6" s="8"/>
      <c r="H6" s="8"/>
      <c r="I6" s="8"/>
      <c r="J6" s="8"/>
      <c r="K6" s="8"/>
      <c r="L6" s="8"/>
      <c r="M6" s="8"/>
      <c r="N6" s="8"/>
    </row>
    <row r="8" spans="5:14" ht="15.75" x14ac:dyDescent="0.25">
      <c r="E8" s="1" t="s">
        <v>0</v>
      </c>
      <c r="F8" s="6" t="s">
        <v>103</v>
      </c>
    </row>
    <row r="9" spans="5:14" x14ac:dyDescent="0.25">
      <c r="E9" t="s">
        <v>125</v>
      </c>
    </row>
  </sheetData>
  <mergeCells count="1">
    <mergeCell ref="E6:N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A092B-371C-43A0-AF77-9144911DA8A7}">
  <dimension ref="F5:Q7"/>
  <sheetViews>
    <sheetView tabSelected="1" workbookViewId="0">
      <selection activeCell="L15" sqref="L15"/>
    </sheetView>
  </sheetViews>
  <sheetFormatPr defaultRowHeight="15" x14ac:dyDescent="0.25"/>
  <cols>
    <col min="12" max="12" width="11.28515625" bestFit="1" customWidth="1"/>
  </cols>
  <sheetData>
    <row r="5" spans="6:17" ht="15.75" x14ac:dyDescent="0.25">
      <c r="F5" s="1" t="s">
        <v>1</v>
      </c>
      <c r="G5" s="4" t="s">
        <v>315</v>
      </c>
      <c r="H5" s="1" t="s">
        <v>103</v>
      </c>
      <c r="I5" s="1" t="s">
        <v>0</v>
      </c>
      <c r="J5" s="1" t="s">
        <v>104</v>
      </c>
      <c r="K5" s="1" t="s">
        <v>307</v>
      </c>
      <c r="L5" s="1" t="s">
        <v>317</v>
      </c>
      <c r="M5" s="1" t="s">
        <v>312</v>
      </c>
      <c r="N5" s="1" t="s">
        <v>313</v>
      </c>
      <c r="O5" s="1" t="s">
        <v>314</v>
      </c>
    </row>
    <row r="6" spans="6:17" x14ac:dyDescent="0.25">
      <c r="K6" t="s">
        <v>309</v>
      </c>
      <c r="L6" t="s">
        <v>322</v>
      </c>
      <c r="M6" t="s">
        <v>325</v>
      </c>
    </row>
    <row r="7" spans="6:17" x14ac:dyDescent="0.25">
      <c r="Q7">
        <f>DSUM(coder_database,"QTY",K5:M6)</f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About Us</vt:lpstr>
      <vt:lpstr>Database</vt:lpstr>
      <vt:lpstr>Query</vt:lpstr>
      <vt:lpstr>Example</vt:lpstr>
      <vt:lpstr>coder_database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Sukanta Hui</dc:creator>
  <cp:lastModifiedBy>Sukanta Hui</cp:lastModifiedBy>
  <dcterms:created xsi:type="dcterms:W3CDTF">2022-06-21T17:18:09Z</dcterms:created>
  <dcterms:modified xsi:type="dcterms:W3CDTF">2022-06-22T18:21:18Z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2022-06-21T17:18:09Z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7aaf6ef4-bc55-4cf0-9631-5ab548ae0e24</vt:lpwstr>
  </property>
  <property fmtid="{D5CDD505-2E9C-101B-9397-08002B2CF9AE}" pid="7" name="MSIP_Label_defa4170-0d19-0005-0004-bc88714345d2_ActionId">
    <vt:lpwstr>2f1fc81a-f3db-4988-8748-948e2687eeaf</vt:lpwstr>
  </property>
  <property fmtid="{D5CDD505-2E9C-101B-9397-08002B2CF9AE}" pid="8" name="MSIP_Label_defa4170-0d19-0005-0004-bc88714345d2_ContentBits">
    <vt:lpwstr>0</vt:lpwstr>
  </property>
</Properties>
</file>